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<sst xmlns="http://schemas.openxmlformats.org/spreadsheetml/2006/main" count="208" uniqueCount="114">
  <si>
    <t xml:space="preserve">Kunci Jawaban: Omzet Toko Online per Platform dan Bulan</t>
  </si>
  <si>
    <t xml:space="preserve">Latihan 19 dari 24  |  Tingkat: Menengah  |  Perkiraan waktu: 50 menit  |  pushexcel.github.io/Pushexcel</t>
  </si>
  <si>
    <t xml:space="preserve">Skenario</t>
  </si>
  <si>
    <t xml:space="preserve">Kamu admin toko online Gaya Kita yang menjual lewat tiga marketplace dan website sendiri. Triwulan III 2026 ada 45 pesanan. Tiap marketplace memotong biaya admin dengan persentase berbeda (sheet Acuan; angkanya contoh fiktif). Kamu merekap penjualan bersih per bulan dan per platform.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</si>
  <si>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</si>
  <si>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</si>
  <si>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</si>
  <si>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</si>
  <si>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</si>
  <si>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</si>
  <si>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</si>
  <si>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</si>
  <si>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</si>
  <si>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</si>
  <si>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</si>
  <si>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</si>
  <si>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</si>
  <si>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</si>
  <si>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</si>
  <si>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</si>
  <si>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</si>
  <si>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</si>
  <si>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</si>
  <si>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</si>
  <si>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omzet pesanan: jumlah dikali harga satuan.</t>
  </si>
  <si>
    <t xml:space="preserve">Sheet Data, kolom G (Omzet), baris 2 sampai 46</t>
  </si>
  <si>
    <t xml:space="preserve">=E2*F2</t>
  </si>
  <si>
    <t xml:space="preserve">2</t>
  </si>
  <si>
    <t xml:space="preserve">Ambil nomor bulan dari tanggal pesanan.</t>
  </si>
  <si>
    <t xml:space="preserve">Sheet Data, kolom H (Bulan), baris 2 sampai 46</t>
  </si>
  <si>
    <t xml:space="preserve">=MONTH(B2)</t>
  </si>
  <si>
    <t xml:space="preserve">3</t>
  </si>
  <si>
    <t xml:space="preserve">Hitung biaya admin: omzet dikali persentase biaya admin platform (dari sheet Acuan).</t>
  </si>
  <si>
    <t xml:space="preserve">Sheet Data, kolom I (Biaya Admin), baris 2 sampai 46</t>
  </si>
  <si>
    <t xml:space="preserve">=ROUND(G2*VLOOKUP(C2;Acuan!$A$2:$B$5;2;FALSE);0)</t>
  </si>
  <si>
    <t xml:space="preserve">4</t>
  </si>
  <si>
    <t xml:space="preserve">Hitung penjualan bersih: omzet dikurangi biaya admin.</t>
  </si>
  <si>
    <t xml:space="preserve">Sheet Data, kolom J (Penjualan Bersih), baris 2 sampai 46</t>
  </si>
  <si>
    <t xml:space="preserve">=G2-I2</t>
  </si>
  <si>
    <t xml:space="preserve">5</t>
  </si>
  <si>
    <t xml:space="preserve">Berapa total omzet, total biaya admin, dan total penjualan bersih triwulan ini?</t>
  </si>
  <si>
    <t xml:space="preserve">Sheet Ringkasan, sel C4 sampai C6</t>
  </si>
  <si>
    <t xml:space="preserve">=SUM(Data!$G$2:$G$46)
=SUM(Data!$I$2:$I$46)
=SUM(Data!$J$2:$J$46)</t>
  </si>
  <si>
    <t xml:space="preserve">6</t>
  </si>
  <si>
    <t xml:space="preserve">Berapa penjualan bersih tiap bulan: Juli, Agustus, dan September?</t>
  </si>
  <si>
    <t xml:space="preserve">Sheet Ringkasan, sel C7 sampai C9</t>
  </si>
  <si>
    <t xml:space="preserve">=SUMIF(Data!$H$2:$H$46;7;Data!$J$2:$J$46)
=SUMIF(Data!$H$2:$H$46;8;Data!$J$2:$J$46)
=SUMIF(Data!$H$2:$H$46;9;Data!$J$2:$J$46)</t>
  </si>
  <si>
    <t xml:space="preserve">7</t>
  </si>
  <si>
    <t xml:space="preserve">Pada sheet Acuan, hitung jumlah pesanan tiap platform.</t>
  </si>
  <si>
    <t xml:space="preserve">Sheet Acuan, kolom C (Jumlah Pesanan), baris 2 sampai 5</t>
  </si>
  <si>
    <t xml:space="preserve">=COUNTIF(Data!$C$2:$C$46;A2)</t>
  </si>
  <si>
    <t xml:space="preserve">8</t>
  </si>
  <si>
    <t xml:space="preserve">Pada sheet Acuan, hitung penjualan bersih tiap platform.</t>
  </si>
  <si>
    <t xml:space="preserve">Sheet Acuan, kolom D (Penjualan Bersih), baris 2 sampai 5</t>
  </si>
  <si>
    <t xml:space="preserve">=SUMIF(Data!$C$2:$C$46;A2;Data!$J$2:$J$46)</t>
  </si>
  <si>
    <t xml:space="preserve">9</t>
  </si>
  <si>
    <t xml:space="preserve">Platform mana yang menyumbang penjualan bersih terbesar?</t>
  </si>
  <si>
    <t xml:space="preserve">Sheet Ringkasan, sel C10</t>
  </si>
  <si>
    <t xml:space="preserve">=INDEX(Acuan!$A$2:$A$5;MATCH(MAX(Acuan!$D$2:$D$5);Acuan!$D$2:$D$5;0))</t>
  </si>
  <si>
    <t xml:space="preserve">10</t>
  </si>
  <si>
    <t xml:space="preserve">Berapa rata-rata omzet per pesanan?</t>
  </si>
  <si>
    <t xml:space="preserve">Sheet Ringkasan, sel C11</t>
  </si>
  <si>
    <t xml:space="preserve">=AVERAGE(Data!$G$2:$G$46)</t>
  </si>
  <si>
    <t xml:space="preserve">11</t>
  </si>
  <si>
    <t xml:space="preserve">Berapa pesanan yang omzetnya Rp 1.000.000 atau lebih?</t>
  </si>
  <si>
    <t xml:space="preserve">Sheet Ringkasan, sel C12</t>
  </si>
  <si>
    <t xml:space="preserve">=COUNTIF(Data!$G$2:$G$46;"&gt;=1000000")</t>
  </si>
  <si>
    <t xml:space="preserve">Tanggal</t>
  </si>
  <si>
    <t xml:space="preserve">Platform</t>
  </si>
  <si>
    <t xml:space="preserve">Produk</t>
  </si>
  <si>
    <t xml:space="preserve">Jumlah</t>
  </si>
  <si>
    <t xml:space="preserve">Harga Satuan</t>
  </si>
  <si>
    <t xml:space="preserve">Omzet</t>
  </si>
  <si>
    <t xml:space="preserve">Bulan</t>
  </si>
  <si>
    <t xml:space="preserve">Biaya Admin</t>
  </si>
  <si>
    <t xml:space="preserve">Penjualan Bersih</t>
  </si>
  <si>
    <t xml:space="preserve">Website Sendiri</t>
  </si>
  <si>
    <t xml:space="preserve">Kaos Polos</t>
  </si>
  <si>
    <t xml:space="preserve">Marketplace C</t>
  </si>
  <si>
    <t xml:space="preserve">Marketplace A</t>
  </si>
  <si>
    <t xml:space="preserve">Jam Tangan Digital</t>
  </si>
  <si>
    <t xml:space="preserve">Tas Ransel Kanvas</t>
  </si>
  <si>
    <t xml:space="preserve">Marketplace B</t>
  </si>
  <si>
    <t xml:space="preserve">Topi Baseball</t>
  </si>
  <si>
    <t xml:space="preserve">Sepatu Sneakers</t>
  </si>
  <si>
    <t xml:space="preserve">Jaket Hoodie</t>
  </si>
  <si>
    <t xml:space="preserve">Kacamata Fashion</t>
  </si>
  <si>
    <t xml:space="preserve">Dompet Kulit</t>
  </si>
  <si>
    <t xml:space="preserve">Jumlah Pesanan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</si>
  <si>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</si>
  <si>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</si>
  <si>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</si>
  <si>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</si>
  <si>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</si>
  <si>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5a</t>
  </si>
  <si>
    <t xml:space="preserve">Total omzet</t>
  </si>
  <si>
    <t xml:space="preserve">Rupiah, mis. Rp 45.000.000</t>
  </si>
  <si>
    <t xml:space="preserve">5b</t>
  </si>
  <si>
    <t xml:space="preserve">Total biaya admin</t>
  </si>
  <si>
    <t xml:space="preserve">5c</t>
  </si>
  <si>
    <t xml:space="preserve">Total penjualan bersih</t>
  </si>
  <si>
    <t xml:space="preserve">6a</t>
  </si>
  <si>
    <t xml:space="preserve">Penjualan bersih bulan Juli</t>
  </si>
  <si>
    <t xml:space="preserve">Rupiah, mis. Rp 15.000.000</t>
  </si>
  <si>
    <t xml:space="preserve">6b</t>
  </si>
  <si>
    <t xml:space="preserve">Penjualan bersih bulan Agustus</t>
  </si>
  <si>
    <t xml:space="preserve">6c</t>
  </si>
  <si>
    <t xml:space="preserve">Penjualan bersih bulan September</t>
  </si>
  <si>
    <t xml:space="preserve">Platform dengan penjualan bersih terbesar</t>
  </si>
  <si>
    <t xml:space="preserve">Teks: nama platform</t>
  </si>
  <si>
    <t xml:space="preserve">Rata-rata omzet per pesanan</t>
  </si>
  <si>
    <t xml:space="preserve">Rupiah, mis. Rp 1.000.000</t>
  </si>
  <si>
    <t xml:space="preserve">Jumlah pesanan beromzet Rp 1.000.000 atau lebih</t>
  </si>
  <si>
    <t xml:space="preserve">Angka bulat, mis. 14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</si>
</sst>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d/mm/yyyy"/>
    <numFmt numFmtId="167" formatCode="&quot;Rp &quot;#,##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55.5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69.75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5"/>
  </cols>
  <sheetData>
    <row r="1" customFormat="false" ht="33.75" hidden="false" customHeight="true" outlineLevel="0" collapsed="false">
      <c r="A1" s="12" t="s">
        <v>19</v>
      </c>
      <c r="B1" s="12" t="s">
        <v>67</v>
      </c>
      <c r="C1" s="12" t="s">
        <v>68</v>
      </c>
      <c r="D1" s="12" t="s">
        <v>69</v>
      </c>
      <c r="E1" s="12" t="s">
        <v>70</v>
      </c>
      <c r="F1" s="12" t="s">
        <v>71</v>
      </c>
      <c r="G1" s="16" t="s">
        <v>72</v>
      </c>
      <c r="H1" s="16" t="s">
        <v>73</v>
      </c>
      <c r="I1" s="16" t="s">
        <v>74</v>
      </c>
      <c r="J1" s="16" t="s">
        <v>75</v>
      </c>
    </row>
    <row r="2" customFormat="false" ht="15" hidden="false" customHeight="false" outlineLevel="0" collapsed="false">
      <c r="A2" s="17" t="n">
        <v>1</v>
      </c>
      <c r="B2" s="18" t="n">
        <v>46206</v>
      </c>
      <c r="C2" s="19" t="s">
        <v>76</v>
      </c>
      <c r="D2" s="19" t="s">
        <v>77</v>
      </c>
      <c r="E2" s="17" t="n">
        <v>4</v>
      </c>
      <c r="F2" s="20" t="n">
        <v>65000</v>
      </c>
      <c r="G2" s="21" t="n">
        <f aca="false">E2*F2</f>
        <v>260000</v>
      </c>
      <c r="H2" s="22" t="n">
        <f aca="false">MONTH(B2)</f>
        <v>7</v>
      </c>
      <c r="I2" s="21" t="n">
        <f aca="false">ROUND(G2*VLOOKUP(C2,Acuan!$A$2:$B$5,2,FALSE()),0)</f>
        <v>0</v>
      </c>
      <c r="J2" s="21" t="n">
        <f aca="false">G2-I2</f>
        <v>260000</v>
      </c>
    </row>
    <row r="3" customFormat="false" ht="15" hidden="false" customHeight="false" outlineLevel="0" collapsed="false">
      <c r="A3" s="17" t="n">
        <v>2</v>
      </c>
      <c r="B3" s="18" t="n">
        <v>46207</v>
      </c>
      <c r="C3" s="19" t="s">
        <v>78</v>
      </c>
      <c r="D3" s="19" t="s">
        <v>77</v>
      </c>
      <c r="E3" s="17" t="n">
        <v>3</v>
      </c>
      <c r="F3" s="20" t="n">
        <v>65000</v>
      </c>
      <c r="G3" s="21" t="n">
        <f aca="false">E3*F3</f>
        <v>195000</v>
      </c>
      <c r="H3" s="22" t="n">
        <f aca="false">MONTH(B3)</f>
        <v>7</v>
      </c>
      <c r="I3" s="21" t="n">
        <f aca="false">ROUND(G3*VLOOKUP(C3,Acuan!$A$2:$B$5,2,FALSE()),0)</f>
        <v>7800</v>
      </c>
      <c r="J3" s="21" t="n">
        <f aca="false">G3-I3</f>
        <v>187200</v>
      </c>
    </row>
    <row r="4" customFormat="false" ht="15" hidden="false" customHeight="false" outlineLevel="0" collapsed="false">
      <c r="A4" s="17" t="n">
        <v>3</v>
      </c>
      <c r="B4" s="18" t="n">
        <v>46208</v>
      </c>
      <c r="C4" s="19" t="s">
        <v>79</v>
      </c>
      <c r="D4" s="19" t="s">
        <v>80</v>
      </c>
      <c r="E4" s="17" t="n">
        <v>2</v>
      </c>
      <c r="F4" s="20" t="n">
        <v>275000</v>
      </c>
      <c r="G4" s="21" t="n">
        <f aca="false">E4*F4</f>
        <v>550000</v>
      </c>
      <c r="H4" s="22" t="n">
        <f aca="false">MONTH(B4)</f>
        <v>7</v>
      </c>
      <c r="I4" s="21" t="n">
        <f aca="false">ROUND(G4*VLOOKUP(C4,Acuan!$A$2:$B$5,2,FALSE()),0)</f>
        <v>33000</v>
      </c>
      <c r="J4" s="21" t="n">
        <f aca="false">G4-I4</f>
        <v>517000</v>
      </c>
    </row>
    <row r="5" customFormat="false" ht="15" hidden="false" customHeight="false" outlineLevel="0" collapsed="false">
      <c r="A5" s="17" t="n">
        <v>4</v>
      </c>
      <c r="B5" s="18" t="n">
        <v>46213</v>
      </c>
      <c r="C5" s="19" t="s">
        <v>76</v>
      </c>
      <c r="D5" s="19" t="s">
        <v>81</v>
      </c>
      <c r="E5" s="17" t="n">
        <v>7</v>
      </c>
      <c r="F5" s="20" t="n">
        <v>185000</v>
      </c>
      <c r="G5" s="21" t="n">
        <f aca="false">E5*F5</f>
        <v>1295000</v>
      </c>
      <c r="H5" s="22" t="n">
        <f aca="false">MONTH(B5)</f>
        <v>7</v>
      </c>
      <c r="I5" s="21" t="n">
        <f aca="false">ROUND(G5*VLOOKUP(C5,Acuan!$A$2:$B$5,2,FALSE()),0)</f>
        <v>0</v>
      </c>
      <c r="J5" s="21" t="n">
        <f aca="false">G5-I5</f>
        <v>1295000</v>
      </c>
    </row>
    <row r="6" customFormat="false" ht="15" hidden="false" customHeight="false" outlineLevel="0" collapsed="false">
      <c r="A6" s="17" t="n">
        <v>5</v>
      </c>
      <c r="B6" s="18" t="n">
        <v>46213</v>
      </c>
      <c r="C6" s="19" t="s">
        <v>82</v>
      </c>
      <c r="D6" s="19" t="s">
        <v>83</v>
      </c>
      <c r="E6" s="17" t="n">
        <v>6</v>
      </c>
      <c r="F6" s="20" t="n">
        <v>55000</v>
      </c>
      <c r="G6" s="21" t="n">
        <f aca="false">E6*F6</f>
        <v>330000</v>
      </c>
      <c r="H6" s="22" t="n">
        <f aca="false">MONTH(B6)</f>
        <v>7</v>
      </c>
      <c r="I6" s="21" t="n">
        <f aca="false">ROUND(G6*VLOOKUP(C6,Acuan!$A$2:$B$5,2,FALSE()),0)</f>
        <v>16500</v>
      </c>
      <c r="J6" s="21" t="n">
        <f aca="false">G6-I6</f>
        <v>313500</v>
      </c>
    </row>
    <row r="7" customFormat="false" ht="15" hidden="false" customHeight="false" outlineLevel="0" collapsed="false">
      <c r="A7" s="17" t="n">
        <v>6</v>
      </c>
      <c r="B7" s="18" t="n">
        <v>46214</v>
      </c>
      <c r="C7" s="19" t="s">
        <v>79</v>
      </c>
      <c r="D7" s="19" t="s">
        <v>83</v>
      </c>
      <c r="E7" s="17" t="n">
        <v>5</v>
      </c>
      <c r="F7" s="20" t="n">
        <v>55000</v>
      </c>
      <c r="G7" s="21" t="n">
        <f aca="false">E7*F7</f>
        <v>275000</v>
      </c>
      <c r="H7" s="22" t="n">
        <f aca="false">MONTH(B7)</f>
        <v>7</v>
      </c>
      <c r="I7" s="21" t="n">
        <f aca="false">ROUND(G7*VLOOKUP(C7,Acuan!$A$2:$B$5,2,FALSE()),0)</f>
        <v>16500</v>
      </c>
      <c r="J7" s="21" t="n">
        <f aca="false">G7-I7</f>
        <v>258500</v>
      </c>
    </row>
    <row r="8" customFormat="false" ht="15" hidden="false" customHeight="false" outlineLevel="0" collapsed="false">
      <c r="A8" s="17" t="n">
        <v>7</v>
      </c>
      <c r="B8" s="18" t="n">
        <v>46217</v>
      </c>
      <c r="C8" s="19" t="s">
        <v>78</v>
      </c>
      <c r="D8" s="19" t="s">
        <v>80</v>
      </c>
      <c r="E8" s="17" t="n">
        <v>1</v>
      </c>
      <c r="F8" s="20" t="n">
        <v>275000</v>
      </c>
      <c r="G8" s="21" t="n">
        <f aca="false">E8*F8</f>
        <v>275000</v>
      </c>
      <c r="H8" s="22" t="n">
        <f aca="false">MONTH(B8)</f>
        <v>7</v>
      </c>
      <c r="I8" s="21" t="n">
        <f aca="false">ROUND(G8*VLOOKUP(C8,Acuan!$A$2:$B$5,2,FALSE()),0)</f>
        <v>11000</v>
      </c>
      <c r="J8" s="21" t="n">
        <f aca="false">G8-I8</f>
        <v>264000</v>
      </c>
    </row>
    <row r="9" customFormat="false" ht="15" hidden="false" customHeight="false" outlineLevel="0" collapsed="false">
      <c r="A9" s="17" t="n">
        <v>8</v>
      </c>
      <c r="B9" s="18" t="n">
        <v>46218</v>
      </c>
      <c r="C9" s="19" t="s">
        <v>79</v>
      </c>
      <c r="D9" s="19" t="s">
        <v>84</v>
      </c>
      <c r="E9" s="17" t="n">
        <v>7</v>
      </c>
      <c r="F9" s="20" t="n">
        <v>350000</v>
      </c>
      <c r="G9" s="21" t="n">
        <f aca="false">E9*F9</f>
        <v>2450000</v>
      </c>
      <c r="H9" s="22" t="n">
        <f aca="false">MONTH(B9)</f>
        <v>7</v>
      </c>
      <c r="I9" s="21" t="n">
        <f aca="false">ROUND(G9*VLOOKUP(C9,Acuan!$A$2:$B$5,2,FALSE()),0)</f>
        <v>147000</v>
      </c>
      <c r="J9" s="21" t="n">
        <f aca="false">G9-I9</f>
        <v>2303000</v>
      </c>
    </row>
    <row r="10" customFormat="false" ht="15" hidden="false" customHeight="false" outlineLevel="0" collapsed="false">
      <c r="A10" s="17" t="n">
        <v>9</v>
      </c>
      <c r="B10" s="18" t="n">
        <v>46218</v>
      </c>
      <c r="C10" s="19" t="s">
        <v>82</v>
      </c>
      <c r="D10" s="19" t="s">
        <v>84</v>
      </c>
      <c r="E10" s="17" t="n">
        <v>1</v>
      </c>
      <c r="F10" s="20" t="n">
        <v>350000</v>
      </c>
      <c r="G10" s="21" t="n">
        <f aca="false">E10*F10</f>
        <v>350000</v>
      </c>
      <c r="H10" s="22" t="n">
        <f aca="false">MONTH(B10)</f>
        <v>7</v>
      </c>
      <c r="I10" s="21" t="n">
        <f aca="false">ROUND(G10*VLOOKUP(C10,Acuan!$A$2:$B$5,2,FALSE()),0)</f>
        <v>17500</v>
      </c>
      <c r="J10" s="21" t="n">
        <f aca="false">G10-I10</f>
        <v>332500</v>
      </c>
    </row>
    <row r="11" customFormat="false" ht="15" hidden="false" customHeight="false" outlineLevel="0" collapsed="false">
      <c r="A11" s="17" t="n">
        <v>10</v>
      </c>
      <c r="B11" s="18" t="n">
        <v>46220</v>
      </c>
      <c r="C11" s="19" t="s">
        <v>82</v>
      </c>
      <c r="D11" s="19" t="s">
        <v>85</v>
      </c>
      <c r="E11" s="17" t="n">
        <v>1</v>
      </c>
      <c r="F11" s="20" t="n">
        <v>220000</v>
      </c>
      <c r="G11" s="21" t="n">
        <f aca="false">E11*F11</f>
        <v>220000</v>
      </c>
      <c r="H11" s="22" t="n">
        <f aca="false">MONTH(B11)</f>
        <v>7</v>
      </c>
      <c r="I11" s="21" t="n">
        <f aca="false">ROUND(G11*VLOOKUP(C11,Acuan!$A$2:$B$5,2,FALSE()),0)</f>
        <v>11000</v>
      </c>
      <c r="J11" s="21" t="n">
        <f aca="false">G11-I11</f>
        <v>209000</v>
      </c>
    </row>
    <row r="12" customFormat="false" ht="15" hidden="false" customHeight="false" outlineLevel="0" collapsed="false">
      <c r="A12" s="17" t="n">
        <v>11</v>
      </c>
      <c r="B12" s="18" t="n">
        <v>46223</v>
      </c>
      <c r="C12" s="19" t="s">
        <v>79</v>
      </c>
      <c r="D12" s="19" t="s">
        <v>86</v>
      </c>
      <c r="E12" s="17" t="n">
        <v>2</v>
      </c>
      <c r="F12" s="20" t="n">
        <v>95000</v>
      </c>
      <c r="G12" s="21" t="n">
        <f aca="false">E12*F12</f>
        <v>190000</v>
      </c>
      <c r="H12" s="22" t="n">
        <f aca="false">MONTH(B12)</f>
        <v>7</v>
      </c>
      <c r="I12" s="21" t="n">
        <f aca="false">ROUND(G12*VLOOKUP(C12,Acuan!$A$2:$B$5,2,FALSE()),0)</f>
        <v>11400</v>
      </c>
      <c r="J12" s="21" t="n">
        <f aca="false">G12-I12</f>
        <v>178600</v>
      </c>
    </row>
    <row r="13" customFormat="false" ht="15" hidden="false" customHeight="false" outlineLevel="0" collapsed="false">
      <c r="A13" s="17" t="n">
        <v>12</v>
      </c>
      <c r="B13" s="18" t="n">
        <v>46223</v>
      </c>
      <c r="C13" s="19" t="s">
        <v>82</v>
      </c>
      <c r="D13" s="19" t="s">
        <v>86</v>
      </c>
      <c r="E13" s="17" t="n">
        <v>4</v>
      </c>
      <c r="F13" s="20" t="n">
        <v>95000</v>
      </c>
      <c r="G13" s="21" t="n">
        <f aca="false">E13*F13</f>
        <v>380000</v>
      </c>
      <c r="H13" s="22" t="n">
        <f aca="false">MONTH(B13)</f>
        <v>7</v>
      </c>
      <c r="I13" s="21" t="n">
        <f aca="false">ROUND(G13*VLOOKUP(C13,Acuan!$A$2:$B$5,2,FALSE()),0)</f>
        <v>19000</v>
      </c>
      <c r="J13" s="21" t="n">
        <f aca="false">G13-I13</f>
        <v>361000</v>
      </c>
    </row>
    <row r="14" customFormat="false" ht="15" hidden="false" customHeight="false" outlineLevel="0" collapsed="false">
      <c r="A14" s="17" t="n">
        <v>13</v>
      </c>
      <c r="B14" s="18" t="n">
        <v>46226</v>
      </c>
      <c r="C14" s="19" t="s">
        <v>79</v>
      </c>
      <c r="D14" s="19" t="s">
        <v>77</v>
      </c>
      <c r="E14" s="17" t="n">
        <v>4</v>
      </c>
      <c r="F14" s="20" t="n">
        <v>65000</v>
      </c>
      <c r="G14" s="21" t="n">
        <f aca="false">E14*F14</f>
        <v>260000</v>
      </c>
      <c r="H14" s="22" t="n">
        <f aca="false">MONTH(B14)</f>
        <v>7</v>
      </c>
      <c r="I14" s="21" t="n">
        <f aca="false">ROUND(G14*VLOOKUP(C14,Acuan!$A$2:$B$5,2,FALSE()),0)</f>
        <v>15600</v>
      </c>
      <c r="J14" s="21" t="n">
        <f aca="false">G14-I14</f>
        <v>244400</v>
      </c>
    </row>
    <row r="15" customFormat="false" ht="15" hidden="false" customHeight="false" outlineLevel="0" collapsed="false">
      <c r="A15" s="17" t="n">
        <v>14</v>
      </c>
      <c r="B15" s="18" t="n">
        <v>46227</v>
      </c>
      <c r="C15" s="19" t="s">
        <v>76</v>
      </c>
      <c r="D15" s="19" t="s">
        <v>81</v>
      </c>
      <c r="E15" s="17" t="n">
        <v>6</v>
      </c>
      <c r="F15" s="20" t="n">
        <v>185000</v>
      </c>
      <c r="G15" s="21" t="n">
        <f aca="false">E15*F15</f>
        <v>1110000</v>
      </c>
      <c r="H15" s="22" t="n">
        <f aca="false">MONTH(B15)</f>
        <v>7</v>
      </c>
      <c r="I15" s="21" t="n">
        <f aca="false">ROUND(G15*VLOOKUP(C15,Acuan!$A$2:$B$5,2,FALSE()),0)</f>
        <v>0</v>
      </c>
      <c r="J15" s="21" t="n">
        <f aca="false">G15-I15</f>
        <v>1110000</v>
      </c>
    </row>
    <row r="16" customFormat="false" ht="15" hidden="false" customHeight="false" outlineLevel="0" collapsed="false">
      <c r="A16" s="17" t="n">
        <v>15</v>
      </c>
      <c r="B16" s="18" t="n">
        <v>46229</v>
      </c>
      <c r="C16" s="19" t="s">
        <v>82</v>
      </c>
      <c r="D16" s="19" t="s">
        <v>81</v>
      </c>
      <c r="E16" s="17" t="n">
        <v>1</v>
      </c>
      <c r="F16" s="20" t="n">
        <v>185000</v>
      </c>
      <c r="G16" s="21" t="n">
        <f aca="false">E16*F16</f>
        <v>185000</v>
      </c>
      <c r="H16" s="22" t="n">
        <f aca="false">MONTH(B16)</f>
        <v>7</v>
      </c>
      <c r="I16" s="21" t="n">
        <f aca="false">ROUND(G16*VLOOKUP(C16,Acuan!$A$2:$B$5,2,FALSE()),0)</f>
        <v>9250</v>
      </c>
      <c r="J16" s="21" t="n">
        <f aca="false">G16-I16</f>
        <v>175750</v>
      </c>
    </row>
    <row r="17" customFormat="false" ht="15" hidden="false" customHeight="false" outlineLevel="0" collapsed="false">
      <c r="A17" s="17" t="n">
        <v>16</v>
      </c>
      <c r="B17" s="18" t="n">
        <v>46229</v>
      </c>
      <c r="C17" s="19" t="s">
        <v>82</v>
      </c>
      <c r="D17" s="19" t="s">
        <v>83</v>
      </c>
      <c r="E17" s="17" t="n">
        <v>5</v>
      </c>
      <c r="F17" s="20" t="n">
        <v>55000</v>
      </c>
      <c r="G17" s="21" t="n">
        <f aca="false">E17*F17</f>
        <v>275000</v>
      </c>
      <c r="H17" s="22" t="n">
        <f aca="false">MONTH(B17)</f>
        <v>7</v>
      </c>
      <c r="I17" s="21" t="n">
        <f aca="false">ROUND(G17*VLOOKUP(C17,Acuan!$A$2:$B$5,2,FALSE()),0)</f>
        <v>13750</v>
      </c>
      <c r="J17" s="21" t="n">
        <f aca="false">G17-I17</f>
        <v>261250</v>
      </c>
    </row>
    <row r="18" customFormat="false" ht="15" hidden="false" customHeight="false" outlineLevel="0" collapsed="false">
      <c r="A18" s="17" t="n">
        <v>17</v>
      </c>
      <c r="B18" s="18" t="n">
        <v>46232</v>
      </c>
      <c r="C18" s="19" t="s">
        <v>78</v>
      </c>
      <c r="D18" s="19" t="s">
        <v>85</v>
      </c>
      <c r="E18" s="17" t="n">
        <v>3</v>
      </c>
      <c r="F18" s="20" t="n">
        <v>220000</v>
      </c>
      <c r="G18" s="21" t="n">
        <f aca="false">E18*F18</f>
        <v>660000</v>
      </c>
      <c r="H18" s="22" t="n">
        <f aca="false">MONTH(B18)</f>
        <v>7</v>
      </c>
      <c r="I18" s="21" t="n">
        <f aca="false">ROUND(G18*VLOOKUP(C18,Acuan!$A$2:$B$5,2,FALSE()),0)</f>
        <v>26400</v>
      </c>
      <c r="J18" s="21" t="n">
        <f aca="false">G18-I18</f>
        <v>633600</v>
      </c>
    </row>
    <row r="19" customFormat="false" ht="15" hidden="false" customHeight="false" outlineLevel="0" collapsed="false">
      <c r="A19" s="17" t="n">
        <v>18</v>
      </c>
      <c r="B19" s="18" t="n">
        <v>46232</v>
      </c>
      <c r="C19" s="19" t="s">
        <v>79</v>
      </c>
      <c r="D19" s="19" t="s">
        <v>77</v>
      </c>
      <c r="E19" s="17" t="n">
        <v>8</v>
      </c>
      <c r="F19" s="20" t="n">
        <v>65000</v>
      </c>
      <c r="G19" s="21" t="n">
        <f aca="false">E19*F19</f>
        <v>520000</v>
      </c>
      <c r="H19" s="22" t="n">
        <f aca="false">MONTH(B19)</f>
        <v>7</v>
      </c>
      <c r="I19" s="21" t="n">
        <f aca="false">ROUND(G19*VLOOKUP(C19,Acuan!$A$2:$B$5,2,FALSE()),0)</f>
        <v>31200</v>
      </c>
      <c r="J19" s="21" t="n">
        <f aca="false">G19-I19</f>
        <v>488800</v>
      </c>
    </row>
    <row r="20" customFormat="false" ht="15" hidden="false" customHeight="false" outlineLevel="0" collapsed="false">
      <c r="A20" s="17" t="n">
        <v>19</v>
      </c>
      <c r="B20" s="18" t="n">
        <v>46233</v>
      </c>
      <c r="C20" s="19" t="s">
        <v>78</v>
      </c>
      <c r="D20" s="19" t="s">
        <v>81</v>
      </c>
      <c r="E20" s="17" t="n">
        <v>5</v>
      </c>
      <c r="F20" s="20" t="n">
        <v>185000</v>
      </c>
      <c r="G20" s="21" t="n">
        <f aca="false">E20*F20</f>
        <v>925000</v>
      </c>
      <c r="H20" s="22" t="n">
        <f aca="false">MONTH(B20)</f>
        <v>7</v>
      </c>
      <c r="I20" s="21" t="n">
        <f aca="false">ROUND(G20*VLOOKUP(C20,Acuan!$A$2:$B$5,2,FALSE()),0)</f>
        <v>37000</v>
      </c>
      <c r="J20" s="21" t="n">
        <f aca="false">G20-I20</f>
        <v>888000</v>
      </c>
    </row>
    <row r="21" customFormat="false" ht="15" hidden="false" customHeight="false" outlineLevel="0" collapsed="false">
      <c r="A21" s="17" t="n">
        <v>20</v>
      </c>
      <c r="B21" s="18" t="n">
        <v>46233</v>
      </c>
      <c r="C21" s="19" t="s">
        <v>76</v>
      </c>
      <c r="D21" s="19" t="s">
        <v>77</v>
      </c>
      <c r="E21" s="17" t="n">
        <v>7</v>
      </c>
      <c r="F21" s="20" t="n">
        <v>65000</v>
      </c>
      <c r="G21" s="21" t="n">
        <f aca="false">E21*F21</f>
        <v>455000</v>
      </c>
      <c r="H21" s="22" t="n">
        <f aca="false">MONTH(B21)</f>
        <v>7</v>
      </c>
      <c r="I21" s="21" t="n">
        <f aca="false">ROUND(G21*VLOOKUP(C21,Acuan!$A$2:$B$5,2,FALSE()),0)</f>
        <v>0</v>
      </c>
      <c r="J21" s="21" t="n">
        <f aca="false">G21-I21</f>
        <v>455000</v>
      </c>
    </row>
    <row r="22" customFormat="false" ht="15" hidden="false" customHeight="false" outlineLevel="0" collapsed="false">
      <c r="A22" s="17" t="n">
        <v>21</v>
      </c>
      <c r="B22" s="18" t="n">
        <v>46235</v>
      </c>
      <c r="C22" s="19" t="s">
        <v>82</v>
      </c>
      <c r="D22" s="19" t="s">
        <v>86</v>
      </c>
      <c r="E22" s="17" t="n">
        <v>6</v>
      </c>
      <c r="F22" s="20" t="n">
        <v>95000</v>
      </c>
      <c r="G22" s="21" t="n">
        <f aca="false">E22*F22</f>
        <v>570000</v>
      </c>
      <c r="H22" s="22" t="n">
        <f aca="false">MONTH(B22)</f>
        <v>8</v>
      </c>
      <c r="I22" s="21" t="n">
        <f aca="false">ROUND(G22*VLOOKUP(C22,Acuan!$A$2:$B$5,2,FALSE()),0)</f>
        <v>28500</v>
      </c>
      <c r="J22" s="21" t="n">
        <f aca="false">G22-I22</f>
        <v>541500</v>
      </c>
    </row>
    <row r="23" customFormat="false" ht="15" hidden="false" customHeight="false" outlineLevel="0" collapsed="false">
      <c r="A23" s="17" t="n">
        <v>22</v>
      </c>
      <c r="B23" s="18" t="n">
        <v>46239</v>
      </c>
      <c r="C23" s="19" t="s">
        <v>79</v>
      </c>
      <c r="D23" s="19" t="s">
        <v>84</v>
      </c>
      <c r="E23" s="17" t="n">
        <v>5</v>
      </c>
      <c r="F23" s="20" t="n">
        <v>350000</v>
      </c>
      <c r="G23" s="21" t="n">
        <f aca="false">E23*F23</f>
        <v>1750000</v>
      </c>
      <c r="H23" s="22" t="n">
        <f aca="false">MONTH(B23)</f>
        <v>8</v>
      </c>
      <c r="I23" s="21" t="n">
        <f aca="false">ROUND(G23*VLOOKUP(C23,Acuan!$A$2:$B$5,2,FALSE()),0)</f>
        <v>105000</v>
      </c>
      <c r="J23" s="21" t="n">
        <f aca="false">G23-I23</f>
        <v>1645000</v>
      </c>
    </row>
    <row r="24" customFormat="false" ht="15" hidden="false" customHeight="false" outlineLevel="0" collapsed="false">
      <c r="A24" s="17" t="n">
        <v>23</v>
      </c>
      <c r="B24" s="18" t="n">
        <v>46242</v>
      </c>
      <c r="C24" s="19" t="s">
        <v>76</v>
      </c>
      <c r="D24" s="19" t="s">
        <v>84</v>
      </c>
      <c r="E24" s="17" t="n">
        <v>8</v>
      </c>
      <c r="F24" s="20" t="n">
        <v>350000</v>
      </c>
      <c r="G24" s="21" t="n">
        <f aca="false">E24*F24</f>
        <v>2800000</v>
      </c>
      <c r="H24" s="22" t="n">
        <f aca="false">MONTH(B24)</f>
        <v>8</v>
      </c>
      <c r="I24" s="21" t="n">
        <f aca="false">ROUND(G24*VLOOKUP(C24,Acuan!$A$2:$B$5,2,FALSE()),0)</f>
        <v>0</v>
      </c>
      <c r="J24" s="21" t="n">
        <f aca="false">G24-I24</f>
        <v>2800000</v>
      </c>
    </row>
    <row r="25" customFormat="false" ht="15" hidden="false" customHeight="false" outlineLevel="0" collapsed="false">
      <c r="A25" s="17" t="n">
        <v>24</v>
      </c>
      <c r="B25" s="18" t="n">
        <v>46244</v>
      </c>
      <c r="C25" s="19" t="s">
        <v>79</v>
      </c>
      <c r="D25" s="19" t="s">
        <v>81</v>
      </c>
      <c r="E25" s="17" t="n">
        <v>5</v>
      </c>
      <c r="F25" s="20" t="n">
        <v>185000</v>
      </c>
      <c r="G25" s="21" t="n">
        <f aca="false">E25*F25</f>
        <v>925000</v>
      </c>
      <c r="H25" s="22" t="n">
        <f aca="false">MONTH(B25)</f>
        <v>8</v>
      </c>
      <c r="I25" s="21" t="n">
        <f aca="false">ROUND(G25*VLOOKUP(C25,Acuan!$A$2:$B$5,2,FALSE()),0)</f>
        <v>55500</v>
      </c>
      <c r="J25" s="21" t="n">
        <f aca="false">G25-I25</f>
        <v>869500</v>
      </c>
    </row>
    <row r="26" customFormat="false" ht="15" hidden="false" customHeight="false" outlineLevel="0" collapsed="false">
      <c r="A26" s="17" t="n">
        <v>25</v>
      </c>
      <c r="B26" s="18" t="n">
        <v>46247</v>
      </c>
      <c r="C26" s="19" t="s">
        <v>82</v>
      </c>
      <c r="D26" s="19" t="s">
        <v>83</v>
      </c>
      <c r="E26" s="17" t="n">
        <v>4</v>
      </c>
      <c r="F26" s="20" t="n">
        <v>55000</v>
      </c>
      <c r="G26" s="21" t="n">
        <f aca="false">E26*F26</f>
        <v>220000</v>
      </c>
      <c r="H26" s="22" t="n">
        <f aca="false">MONTH(B26)</f>
        <v>8</v>
      </c>
      <c r="I26" s="21" t="n">
        <f aca="false">ROUND(G26*VLOOKUP(C26,Acuan!$A$2:$B$5,2,FALSE()),0)</f>
        <v>11000</v>
      </c>
      <c r="J26" s="21" t="n">
        <f aca="false">G26-I26</f>
        <v>209000</v>
      </c>
    </row>
    <row r="27" customFormat="false" ht="15" hidden="false" customHeight="false" outlineLevel="0" collapsed="false">
      <c r="A27" s="17" t="n">
        <v>26</v>
      </c>
      <c r="B27" s="18" t="n">
        <v>46253</v>
      </c>
      <c r="C27" s="19" t="s">
        <v>78</v>
      </c>
      <c r="D27" s="19" t="s">
        <v>86</v>
      </c>
      <c r="E27" s="17" t="n">
        <v>1</v>
      </c>
      <c r="F27" s="20" t="n">
        <v>95000</v>
      </c>
      <c r="G27" s="21" t="n">
        <f aca="false">E27*F27</f>
        <v>95000</v>
      </c>
      <c r="H27" s="22" t="n">
        <f aca="false">MONTH(B27)</f>
        <v>8</v>
      </c>
      <c r="I27" s="21" t="n">
        <f aca="false">ROUND(G27*VLOOKUP(C27,Acuan!$A$2:$B$5,2,FALSE()),0)</f>
        <v>3800</v>
      </c>
      <c r="J27" s="21" t="n">
        <f aca="false">G27-I27</f>
        <v>91200</v>
      </c>
    </row>
    <row r="28" customFormat="false" ht="15" hidden="false" customHeight="false" outlineLevel="0" collapsed="false">
      <c r="A28" s="17" t="n">
        <v>27</v>
      </c>
      <c r="B28" s="18" t="n">
        <v>46255</v>
      </c>
      <c r="C28" s="19" t="s">
        <v>78</v>
      </c>
      <c r="D28" s="19" t="s">
        <v>85</v>
      </c>
      <c r="E28" s="17" t="n">
        <v>4</v>
      </c>
      <c r="F28" s="20" t="n">
        <v>220000</v>
      </c>
      <c r="G28" s="21" t="n">
        <f aca="false">E28*F28</f>
        <v>880000</v>
      </c>
      <c r="H28" s="22" t="n">
        <f aca="false">MONTH(B28)</f>
        <v>8</v>
      </c>
      <c r="I28" s="21" t="n">
        <f aca="false">ROUND(G28*VLOOKUP(C28,Acuan!$A$2:$B$5,2,FALSE()),0)</f>
        <v>35200</v>
      </c>
      <c r="J28" s="21" t="n">
        <f aca="false">G28-I28</f>
        <v>844800</v>
      </c>
    </row>
    <row r="29" customFormat="false" ht="15" hidden="false" customHeight="false" outlineLevel="0" collapsed="false">
      <c r="A29" s="17" t="n">
        <v>28</v>
      </c>
      <c r="B29" s="18" t="n">
        <v>46257</v>
      </c>
      <c r="C29" s="19" t="s">
        <v>79</v>
      </c>
      <c r="D29" s="19" t="s">
        <v>86</v>
      </c>
      <c r="E29" s="17" t="n">
        <v>2</v>
      </c>
      <c r="F29" s="20" t="n">
        <v>95000</v>
      </c>
      <c r="G29" s="21" t="n">
        <f aca="false">E29*F29</f>
        <v>190000</v>
      </c>
      <c r="H29" s="22" t="n">
        <f aca="false">MONTH(B29)</f>
        <v>8</v>
      </c>
      <c r="I29" s="21" t="n">
        <f aca="false">ROUND(G29*VLOOKUP(C29,Acuan!$A$2:$B$5,2,FALSE()),0)</f>
        <v>11400</v>
      </c>
      <c r="J29" s="21" t="n">
        <f aca="false">G29-I29</f>
        <v>178600</v>
      </c>
    </row>
    <row r="30" customFormat="false" ht="15" hidden="false" customHeight="false" outlineLevel="0" collapsed="false">
      <c r="A30" s="17" t="n">
        <v>29</v>
      </c>
      <c r="B30" s="18" t="n">
        <v>46261</v>
      </c>
      <c r="C30" s="19" t="s">
        <v>82</v>
      </c>
      <c r="D30" s="19" t="s">
        <v>81</v>
      </c>
      <c r="E30" s="17" t="n">
        <v>1</v>
      </c>
      <c r="F30" s="20" t="n">
        <v>185000</v>
      </c>
      <c r="G30" s="21" t="n">
        <f aca="false">E30*F30</f>
        <v>185000</v>
      </c>
      <c r="H30" s="22" t="n">
        <f aca="false">MONTH(B30)</f>
        <v>8</v>
      </c>
      <c r="I30" s="21" t="n">
        <f aca="false">ROUND(G30*VLOOKUP(C30,Acuan!$A$2:$B$5,2,FALSE()),0)</f>
        <v>9250</v>
      </c>
      <c r="J30" s="21" t="n">
        <f aca="false">G30-I30</f>
        <v>175750</v>
      </c>
    </row>
    <row r="31" customFormat="false" ht="15" hidden="false" customHeight="false" outlineLevel="0" collapsed="false">
      <c r="A31" s="17" t="n">
        <v>30</v>
      </c>
      <c r="B31" s="18" t="n">
        <v>46264</v>
      </c>
      <c r="C31" s="19" t="s">
        <v>76</v>
      </c>
      <c r="D31" s="19" t="s">
        <v>84</v>
      </c>
      <c r="E31" s="17" t="n">
        <v>6</v>
      </c>
      <c r="F31" s="20" t="n">
        <v>350000</v>
      </c>
      <c r="G31" s="21" t="n">
        <f aca="false">E31*F31</f>
        <v>2100000</v>
      </c>
      <c r="H31" s="22" t="n">
        <f aca="false">MONTH(B31)</f>
        <v>8</v>
      </c>
      <c r="I31" s="21" t="n">
        <f aca="false">ROUND(G31*VLOOKUP(C31,Acuan!$A$2:$B$5,2,FALSE()),0)</f>
        <v>0</v>
      </c>
      <c r="J31" s="21" t="n">
        <f aca="false">G31-I31</f>
        <v>2100000</v>
      </c>
    </row>
    <row r="32" customFormat="false" ht="15" hidden="false" customHeight="false" outlineLevel="0" collapsed="false">
      <c r="A32" s="17" t="n">
        <v>31</v>
      </c>
      <c r="B32" s="18" t="n">
        <v>46265</v>
      </c>
      <c r="C32" s="19" t="s">
        <v>79</v>
      </c>
      <c r="D32" s="19" t="s">
        <v>83</v>
      </c>
      <c r="E32" s="17" t="n">
        <v>1</v>
      </c>
      <c r="F32" s="20" t="n">
        <v>55000</v>
      </c>
      <c r="G32" s="21" t="n">
        <f aca="false">E32*F32</f>
        <v>55000</v>
      </c>
      <c r="H32" s="22" t="n">
        <f aca="false">MONTH(B32)</f>
        <v>8</v>
      </c>
      <c r="I32" s="21" t="n">
        <f aca="false">ROUND(G32*VLOOKUP(C32,Acuan!$A$2:$B$5,2,FALSE()),0)</f>
        <v>3300</v>
      </c>
      <c r="J32" s="21" t="n">
        <f aca="false">G32-I32</f>
        <v>51700</v>
      </c>
    </row>
    <row r="33" customFormat="false" ht="15" hidden="false" customHeight="false" outlineLevel="0" collapsed="false">
      <c r="A33" s="17" t="n">
        <v>32</v>
      </c>
      <c r="B33" s="18" t="n">
        <v>46271</v>
      </c>
      <c r="C33" s="19" t="s">
        <v>76</v>
      </c>
      <c r="D33" s="19" t="s">
        <v>85</v>
      </c>
      <c r="E33" s="17" t="n">
        <v>6</v>
      </c>
      <c r="F33" s="20" t="n">
        <v>220000</v>
      </c>
      <c r="G33" s="21" t="n">
        <f aca="false">E33*F33</f>
        <v>1320000</v>
      </c>
      <c r="H33" s="22" t="n">
        <f aca="false">MONTH(B33)</f>
        <v>9</v>
      </c>
      <c r="I33" s="21" t="n">
        <f aca="false">ROUND(G33*VLOOKUP(C33,Acuan!$A$2:$B$5,2,FALSE()),0)</f>
        <v>0</v>
      </c>
      <c r="J33" s="21" t="n">
        <f aca="false">G33-I33</f>
        <v>1320000</v>
      </c>
    </row>
    <row r="34" customFormat="false" ht="15" hidden="false" customHeight="false" outlineLevel="0" collapsed="false">
      <c r="A34" s="17" t="n">
        <v>33</v>
      </c>
      <c r="B34" s="18" t="n">
        <v>46271</v>
      </c>
      <c r="C34" s="19" t="s">
        <v>79</v>
      </c>
      <c r="D34" s="19" t="s">
        <v>80</v>
      </c>
      <c r="E34" s="17" t="n">
        <v>8</v>
      </c>
      <c r="F34" s="20" t="n">
        <v>275000</v>
      </c>
      <c r="G34" s="21" t="n">
        <f aca="false">E34*F34</f>
        <v>2200000</v>
      </c>
      <c r="H34" s="22" t="n">
        <f aca="false">MONTH(B34)</f>
        <v>9</v>
      </c>
      <c r="I34" s="21" t="n">
        <f aca="false">ROUND(G34*VLOOKUP(C34,Acuan!$A$2:$B$5,2,FALSE()),0)</f>
        <v>132000</v>
      </c>
      <c r="J34" s="21" t="n">
        <f aca="false">G34-I34</f>
        <v>2068000</v>
      </c>
    </row>
    <row r="35" customFormat="false" ht="15" hidden="false" customHeight="false" outlineLevel="0" collapsed="false">
      <c r="A35" s="17" t="n">
        <v>34</v>
      </c>
      <c r="B35" s="18" t="n">
        <v>46272</v>
      </c>
      <c r="C35" s="19" t="s">
        <v>79</v>
      </c>
      <c r="D35" s="19" t="s">
        <v>77</v>
      </c>
      <c r="E35" s="17" t="n">
        <v>5</v>
      </c>
      <c r="F35" s="20" t="n">
        <v>65000</v>
      </c>
      <c r="G35" s="21" t="n">
        <f aca="false">E35*F35</f>
        <v>325000</v>
      </c>
      <c r="H35" s="22" t="n">
        <f aca="false">MONTH(B35)</f>
        <v>9</v>
      </c>
      <c r="I35" s="21" t="n">
        <f aca="false">ROUND(G35*VLOOKUP(C35,Acuan!$A$2:$B$5,2,FALSE()),0)</f>
        <v>19500</v>
      </c>
      <c r="J35" s="21" t="n">
        <f aca="false">G35-I35</f>
        <v>305500</v>
      </c>
    </row>
    <row r="36" customFormat="false" ht="15" hidden="false" customHeight="false" outlineLevel="0" collapsed="false">
      <c r="A36" s="17" t="n">
        <v>35</v>
      </c>
      <c r="B36" s="18" t="n">
        <v>46272</v>
      </c>
      <c r="C36" s="19" t="s">
        <v>82</v>
      </c>
      <c r="D36" s="19" t="s">
        <v>77</v>
      </c>
      <c r="E36" s="17" t="n">
        <v>5</v>
      </c>
      <c r="F36" s="20" t="n">
        <v>65000</v>
      </c>
      <c r="G36" s="21" t="n">
        <f aca="false">E36*F36</f>
        <v>325000</v>
      </c>
      <c r="H36" s="22" t="n">
        <f aca="false">MONTH(B36)</f>
        <v>9</v>
      </c>
      <c r="I36" s="21" t="n">
        <f aca="false">ROUND(G36*VLOOKUP(C36,Acuan!$A$2:$B$5,2,FALSE()),0)</f>
        <v>16250</v>
      </c>
      <c r="J36" s="21" t="n">
        <f aca="false">G36-I36</f>
        <v>308750</v>
      </c>
    </row>
    <row r="37" customFormat="false" ht="15" hidden="false" customHeight="false" outlineLevel="0" collapsed="false">
      <c r="A37" s="17" t="n">
        <v>36</v>
      </c>
      <c r="B37" s="18" t="n">
        <v>46274</v>
      </c>
      <c r="C37" s="19" t="s">
        <v>76</v>
      </c>
      <c r="D37" s="19" t="s">
        <v>84</v>
      </c>
      <c r="E37" s="17" t="n">
        <v>6</v>
      </c>
      <c r="F37" s="20" t="n">
        <v>350000</v>
      </c>
      <c r="G37" s="21" t="n">
        <f aca="false">E37*F37</f>
        <v>2100000</v>
      </c>
      <c r="H37" s="22" t="n">
        <f aca="false">MONTH(B37)</f>
        <v>9</v>
      </c>
      <c r="I37" s="21" t="n">
        <f aca="false">ROUND(G37*VLOOKUP(C37,Acuan!$A$2:$B$5,2,FALSE()),0)</f>
        <v>0</v>
      </c>
      <c r="J37" s="21" t="n">
        <f aca="false">G37-I37</f>
        <v>2100000</v>
      </c>
    </row>
    <row r="38" customFormat="false" ht="15" hidden="false" customHeight="false" outlineLevel="0" collapsed="false">
      <c r="A38" s="17" t="n">
        <v>37</v>
      </c>
      <c r="B38" s="18" t="n">
        <v>46276</v>
      </c>
      <c r="C38" s="19" t="s">
        <v>76</v>
      </c>
      <c r="D38" s="19" t="s">
        <v>80</v>
      </c>
      <c r="E38" s="17" t="n">
        <v>5</v>
      </c>
      <c r="F38" s="20" t="n">
        <v>275000</v>
      </c>
      <c r="G38" s="21" t="n">
        <f aca="false">E38*F38</f>
        <v>1375000</v>
      </c>
      <c r="H38" s="22" t="n">
        <f aca="false">MONTH(B38)</f>
        <v>9</v>
      </c>
      <c r="I38" s="21" t="n">
        <f aca="false">ROUND(G38*VLOOKUP(C38,Acuan!$A$2:$B$5,2,FALSE()),0)</f>
        <v>0</v>
      </c>
      <c r="J38" s="21" t="n">
        <f aca="false">G38-I38</f>
        <v>1375000</v>
      </c>
    </row>
    <row r="39" customFormat="false" ht="15" hidden="false" customHeight="false" outlineLevel="0" collapsed="false">
      <c r="A39" s="17" t="n">
        <v>38</v>
      </c>
      <c r="B39" s="18" t="n">
        <v>46284</v>
      </c>
      <c r="C39" s="19" t="s">
        <v>76</v>
      </c>
      <c r="D39" s="19" t="s">
        <v>80</v>
      </c>
      <c r="E39" s="17" t="n">
        <v>3</v>
      </c>
      <c r="F39" s="20" t="n">
        <v>275000</v>
      </c>
      <c r="G39" s="21" t="n">
        <f aca="false">E39*F39</f>
        <v>825000</v>
      </c>
      <c r="H39" s="22" t="n">
        <f aca="false">MONTH(B39)</f>
        <v>9</v>
      </c>
      <c r="I39" s="21" t="n">
        <f aca="false">ROUND(G39*VLOOKUP(C39,Acuan!$A$2:$B$5,2,FALSE()),0)</f>
        <v>0</v>
      </c>
      <c r="J39" s="21" t="n">
        <f aca="false">G39-I39</f>
        <v>825000</v>
      </c>
    </row>
    <row r="40" customFormat="false" ht="15" hidden="false" customHeight="false" outlineLevel="0" collapsed="false">
      <c r="A40" s="17" t="n">
        <v>39</v>
      </c>
      <c r="B40" s="18" t="n">
        <v>46285</v>
      </c>
      <c r="C40" s="19" t="s">
        <v>78</v>
      </c>
      <c r="D40" s="19" t="s">
        <v>80</v>
      </c>
      <c r="E40" s="17" t="n">
        <v>7</v>
      </c>
      <c r="F40" s="20" t="n">
        <v>275000</v>
      </c>
      <c r="G40" s="21" t="n">
        <f aca="false">E40*F40</f>
        <v>1925000</v>
      </c>
      <c r="H40" s="22" t="n">
        <f aca="false">MONTH(B40)</f>
        <v>9</v>
      </c>
      <c r="I40" s="21" t="n">
        <f aca="false">ROUND(G40*VLOOKUP(C40,Acuan!$A$2:$B$5,2,FALSE()),0)</f>
        <v>77000</v>
      </c>
      <c r="J40" s="21" t="n">
        <f aca="false">G40-I40</f>
        <v>1848000</v>
      </c>
    </row>
    <row r="41" customFormat="false" ht="15" hidden="false" customHeight="false" outlineLevel="0" collapsed="false">
      <c r="A41" s="17" t="n">
        <v>40</v>
      </c>
      <c r="B41" s="18" t="n">
        <v>46286</v>
      </c>
      <c r="C41" s="19" t="s">
        <v>79</v>
      </c>
      <c r="D41" s="19" t="s">
        <v>86</v>
      </c>
      <c r="E41" s="17" t="n">
        <v>3</v>
      </c>
      <c r="F41" s="20" t="n">
        <v>95000</v>
      </c>
      <c r="G41" s="21" t="n">
        <f aca="false">E41*F41</f>
        <v>285000</v>
      </c>
      <c r="H41" s="22" t="n">
        <f aca="false">MONTH(B41)</f>
        <v>9</v>
      </c>
      <c r="I41" s="21" t="n">
        <f aca="false">ROUND(G41*VLOOKUP(C41,Acuan!$A$2:$B$5,2,FALSE()),0)</f>
        <v>17100</v>
      </c>
      <c r="J41" s="21" t="n">
        <f aca="false">G41-I41</f>
        <v>267900</v>
      </c>
    </row>
    <row r="42" customFormat="false" ht="15" hidden="false" customHeight="false" outlineLevel="0" collapsed="false">
      <c r="A42" s="17" t="n">
        <v>41</v>
      </c>
      <c r="B42" s="18" t="n">
        <v>46286</v>
      </c>
      <c r="C42" s="19" t="s">
        <v>78</v>
      </c>
      <c r="D42" s="19" t="s">
        <v>77</v>
      </c>
      <c r="E42" s="17" t="n">
        <v>6</v>
      </c>
      <c r="F42" s="20" t="n">
        <v>65000</v>
      </c>
      <c r="G42" s="21" t="n">
        <f aca="false">E42*F42</f>
        <v>390000</v>
      </c>
      <c r="H42" s="22" t="n">
        <f aca="false">MONTH(B42)</f>
        <v>9</v>
      </c>
      <c r="I42" s="21" t="n">
        <f aca="false">ROUND(G42*VLOOKUP(C42,Acuan!$A$2:$B$5,2,FALSE()),0)</f>
        <v>15600</v>
      </c>
      <c r="J42" s="21" t="n">
        <f aca="false">G42-I42</f>
        <v>374400</v>
      </c>
    </row>
    <row r="43" customFormat="false" ht="15" hidden="false" customHeight="false" outlineLevel="0" collapsed="false">
      <c r="A43" s="17" t="n">
        <v>42</v>
      </c>
      <c r="B43" s="18" t="n">
        <v>46291</v>
      </c>
      <c r="C43" s="19" t="s">
        <v>78</v>
      </c>
      <c r="D43" s="19" t="s">
        <v>87</v>
      </c>
      <c r="E43" s="17" t="n">
        <v>4</v>
      </c>
      <c r="F43" s="20" t="n">
        <v>125000</v>
      </c>
      <c r="G43" s="21" t="n">
        <f aca="false">E43*F43</f>
        <v>500000</v>
      </c>
      <c r="H43" s="22" t="n">
        <f aca="false">MONTH(B43)</f>
        <v>9</v>
      </c>
      <c r="I43" s="21" t="n">
        <f aca="false">ROUND(G43*VLOOKUP(C43,Acuan!$A$2:$B$5,2,FALSE()),0)</f>
        <v>20000</v>
      </c>
      <c r="J43" s="21" t="n">
        <f aca="false">G43-I43</f>
        <v>480000</v>
      </c>
    </row>
    <row r="44" customFormat="false" ht="15" hidden="false" customHeight="false" outlineLevel="0" collapsed="false">
      <c r="A44" s="17" t="n">
        <v>43</v>
      </c>
      <c r="B44" s="18" t="n">
        <v>46292</v>
      </c>
      <c r="C44" s="19" t="s">
        <v>79</v>
      </c>
      <c r="D44" s="19" t="s">
        <v>86</v>
      </c>
      <c r="E44" s="17" t="n">
        <v>2</v>
      </c>
      <c r="F44" s="20" t="n">
        <v>95000</v>
      </c>
      <c r="G44" s="21" t="n">
        <f aca="false">E44*F44</f>
        <v>190000</v>
      </c>
      <c r="H44" s="22" t="n">
        <f aca="false">MONTH(B44)</f>
        <v>9</v>
      </c>
      <c r="I44" s="21" t="n">
        <f aca="false">ROUND(G44*VLOOKUP(C44,Acuan!$A$2:$B$5,2,FALSE()),0)</f>
        <v>11400</v>
      </c>
      <c r="J44" s="21" t="n">
        <f aca="false">G44-I44</f>
        <v>178600</v>
      </c>
    </row>
    <row r="45" customFormat="false" ht="15" hidden="false" customHeight="false" outlineLevel="0" collapsed="false">
      <c r="A45" s="17" t="n">
        <v>44</v>
      </c>
      <c r="B45" s="18" t="n">
        <v>46294</v>
      </c>
      <c r="C45" s="19" t="s">
        <v>78</v>
      </c>
      <c r="D45" s="19" t="s">
        <v>81</v>
      </c>
      <c r="E45" s="17" t="n">
        <v>8</v>
      </c>
      <c r="F45" s="20" t="n">
        <v>185000</v>
      </c>
      <c r="G45" s="21" t="n">
        <f aca="false">E45*F45</f>
        <v>1480000</v>
      </c>
      <c r="H45" s="22" t="n">
        <f aca="false">MONTH(B45)</f>
        <v>9</v>
      </c>
      <c r="I45" s="21" t="n">
        <f aca="false">ROUND(G45*VLOOKUP(C45,Acuan!$A$2:$B$5,2,FALSE()),0)</f>
        <v>59200</v>
      </c>
      <c r="J45" s="21" t="n">
        <f aca="false">G45-I45</f>
        <v>1420800</v>
      </c>
    </row>
    <row r="46" customFormat="false" ht="15" hidden="false" customHeight="false" outlineLevel="0" collapsed="false">
      <c r="A46" s="17" t="n">
        <v>45</v>
      </c>
      <c r="B46" s="18" t="n">
        <v>46295</v>
      </c>
      <c r="C46" s="19" t="s">
        <v>78</v>
      </c>
      <c r="D46" s="19" t="s">
        <v>83</v>
      </c>
      <c r="E46" s="17" t="n">
        <v>3</v>
      </c>
      <c r="F46" s="20" t="n">
        <v>55000</v>
      </c>
      <c r="G46" s="21" t="n">
        <f aca="false">E46*F46</f>
        <v>165000</v>
      </c>
      <c r="H46" s="22" t="n">
        <f aca="false">MONTH(B46)</f>
        <v>9</v>
      </c>
      <c r="I46" s="21" t="n">
        <f aca="false">ROUND(G46*VLOOKUP(C46,Acuan!$A$2:$B$5,2,FALSE()),0)</f>
        <v>6600</v>
      </c>
      <c r="J46" s="21" t="n">
        <f aca="false">G46-I46</f>
        <v>158400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2" t="s">
        <v>68</v>
      </c>
      <c r="B1" s="12" t="s">
        <v>74</v>
      </c>
      <c r="C1" s="16" t="s">
        <v>88</v>
      </c>
      <c r="D1" s="16" t="s">
        <v>75</v>
      </c>
    </row>
    <row r="2" customFormat="false" ht="15" hidden="false" customHeight="false" outlineLevel="0" collapsed="false">
      <c r="A2" s="19" t="s">
        <v>79</v>
      </c>
      <c r="B2" s="23" t="n">
        <v>0.06</v>
      </c>
      <c r="C2" s="22" t="n">
        <f aca="false">COUNTIF(Data!$C$2:$C$46,A2)</f>
        <v>14</v>
      </c>
      <c r="D2" s="21" t="n">
        <f aca="false">SUMIF(Data!$C$2:$C$46,A2,Data!$J$2:$J$46)</f>
        <v>9555100</v>
      </c>
    </row>
    <row r="3" customFormat="false" ht="15" hidden="false" customHeight="false" outlineLevel="0" collapsed="false">
      <c r="A3" s="19" t="s">
        <v>82</v>
      </c>
      <c r="B3" s="23" t="n">
        <v>0.05</v>
      </c>
      <c r="C3" s="22" t="n">
        <f aca="false">COUNTIF(Data!$C$2:$C$46,A3)</f>
        <v>10</v>
      </c>
      <c r="D3" s="21" t="n">
        <f aca="false">SUMIF(Data!$C$2:$C$46,A3,Data!$J$2:$J$46)</f>
        <v>2888000</v>
      </c>
    </row>
    <row r="4" customFormat="false" ht="15" hidden="false" customHeight="false" outlineLevel="0" collapsed="false">
      <c r="A4" s="19" t="s">
        <v>78</v>
      </c>
      <c r="B4" s="23" t="n">
        <v>0.04</v>
      </c>
      <c r="C4" s="22" t="n">
        <f aca="false">COUNTIF(Data!$C$2:$C$46,A4)</f>
        <v>11</v>
      </c>
      <c r="D4" s="21" t="n">
        <f aca="false">SUMIF(Data!$C$2:$C$46,A4,Data!$J$2:$J$46)</f>
        <v>7190400</v>
      </c>
    </row>
    <row r="5" customFormat="false" ht="15" hidden="false" customHeight="false" outlineLevel="0" collapsed="false">
      <c r="A5" s="19" t="s">
        <v>76</v>
      </c>
      <c r="B5" s="23" t="n">
        <v>0</v>
      </c>
      <c r="C5" s="22" t="n">
        <f aca="false">COUNTIF(Data!$C$2:$C$46,A5)</f>
        <v>10</v>
      </c>
      <c r="D5" s="21" t="n">
        <f aca="false">SUMIF(Data!$C$2:$C$46,A5,Data!$J$2:$J$46)</f>
        <v>13640000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4" t="s">
        <v>89</v>
      </c>
      <c r="B1" s="24"/>
      <c r="C1" s="24"/>
      <c r="D1" s="24"/>
    </row>
    <row r="2" customFormat="false" ht="15" hidden="false" customHeight="false" outlineLevel="0" collapsed="false">
      <c r="A2" s="25" t="s">
        <v>90</v>
      </c>
      <c r="B2" s="25"/>
      <c r="C2" s="25"/>
      <c r="D2" s="25"/>
    </row>
    <row r="3" customFormat="false" ht="15" hidden="false" customHeight="false" outlineLevel="0" collapsed="false">
      <c r="A3" s="12" t="s">
        <v>19</v>
      </c>
      <c r="B3" s="12" t="s">
        <v>91</v>
      </c>
      <c r="C3" s="12" t="s">
        <v>92</v>
      </c>
      <c r="D3" s="12" t="s">
        <v>93</v>
      </c>
    </row>
    <row r="4" customFormat="false" ht="19.5" hidden="false" customHeight="true" outlineLevel="0" collapsed="false">
      <c r="A4" s="26" t="s">
        <v>94</v>
      </c>
      <c r="B4" s="27" t="s">
        <v>95</v>
      </c>
      <c r="C4" s="21" t="n">
        <f aca="false">SUM(Data!$G$2:$G$46)</f>
        <v>34335000</v>
      </c>
      <c r="D4" s="28" t="s">
        <v>96</v>
      </c>
    </row>
    <row r="5" customFormat="false" ht="19.5" hidden="false" customHeight="true" outlineLevel="0" collapsed="false">
      <c r="A5" s="26" t="s">
        <v>97</v>
      </c>
      <c r="B5" s="27" t="s">
        <v>98</v>
      </c>
      <c r="C5" s="21" t="n">
        <f aca="false">SUM(Data!$I$2:$I$46)</f>
        <v>1061500</v>
      </c>
      <c r="D5" s="28" t="s">
        <v>96</v>
      </c>
    </row>
    <row r="6" customFormat="false" ht="19.5" hidden="false" customHeight="true" outlineLevel="0" collapsed="false">
      <c r="A6" s="26" t="s">
        <v>99</v>
      </c>
      <c r="B6" s="27" t="s">
        <v>100</v>
      </c>
      <c r="C6" s="21" t="n">
        <f aca="false">SUM(Data!$J$2:$J$46)</f>
        <v>33273500</v>
      </c>
      <c r="D6" s="28" t="s">
        <v>96</v>
      </c>
    </row>
    <row r="7" customFormat="false" ht="19.5" hidden="false" customHeight="true" outlineLevel="0" collapsed="false">
      <c r="A7" s="26" t="s">
        <v>101</v>
      </c>
      <c r="B7" s="27" t="s">
        <v>102</v>
      </c>
      <c r="C7" s="21" t="n">
        <f aca="false">SUMIF(Data!$H$2:$H$46,7,Data!$J$2:$J$46)</f>
        <v>10736100</v>
      </c>
      <c r="D7" s="28" t="s">
        <v>103</v>
      </c>
    </row>
    <row r="8" customFormat="false" ht="19.5" hidden="false" customHeight="true" outlineLevel="0" collapsed="false">
      <c r="A8" s="26" t="s">
        <v>104</v>
      </c>
      <c r="B8" s="27" t="s">
        <v>105</v>
      </c>
      <c r="C8" s="21" t="n">
        <f aca="false">SUMIF(Data!$H$2:$H$46,8,Data!$J$2:$J$46)</f>
        <v>9507050</v>
      </c>
      <c r="D8" s="28" t="s">
        <v>103</v>
      </c>
    </row>
    <row r="9" customFormat="false" ht="19.5" hidden="false" customHeight="true" outlineLevel="0" collapsed="false">
      <c r="A9" s="26" t="s">
        <v>106</v>
      </c>
      <c r="B9" s="27" t="s">
        <v>107</v>
      </c>
      <c r="C9" s="21" t="n">
        <f aca="false">SUMIF(Data!$H$2:$H$46,9,Data!$J$2:$J$46)</f>
        <v>13030350</v>
      </c>
      <c r="D9" s="28" t="s">
        <v>103</v>
      </c>
    </row>
    <row r="10" customFormat="false" ht="19.5" hidden="false" customHeight="true" outlineLevel="0" collapsed="false">
      <c r="A10" s="26" t="s">
        <v>55</v>
      </c>
      <c r="B10" s="27" t="s">
        <v>108</v>
      </c>
      <c r="C10" s="29" t="str">
        <f aca="false">INDEX(Acuan!$A$2:$A$5,MATCH(MAX(Acuan!$D$2:$D$5),Acuan!$D$2:$D$5,0))</f>
        <v>Website Sendiri</v>
      </c>
      <c r="D10" s="28" t="s">
        <v>109</v>
      </c>
    </row>
    <row r="11" customFormat="false" ht="19.5" hidden="false" customHeight="true" outlineLevel="0" collapsed="false">
      <c r="A11" s="26" t="s">
        <v>59</v>
      </c>
      <c r="B11" s="27" t="s">
        <v>110</v>
      </c>
      <c r="C11" s="21" t="n">
        <f aca="false">AVERAGE(Data!$G$2:$G$46)</f>
        <v>763000</v>
      </c>
      <c r="D11" s="28" t="s">
        <v>111</v>
      </c>
    </row>
    <row r="12" customFormat="false" ht="19.5" hidden="false" customHeight="true" outlineLevel="0" collapsed="false">
      <c r="A12" s="26" t="s">
        <v>63</v>
      </c>
      <c r="B12" s="27" t="s">
        <v>112</v>
      </c>
      <c r="C12" s="22" t="n">
        <f aca="false">COUNTIF(Data!$G$2:$G$46,"&gt;=1000000")</f>
        <v>12</v>
      </c>
      <c r="D12" s="28" t="s">
        <v>113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2026-10-10T06:49:18Z</dcterms:created>
  <dc:creator>PushExcel</dc:creator>
  <dc:description/>
  <dc:language>en-US</dc:language>
  <cp:lastModifiedBy/>
  <dcterms:modified xsi:type="dcterms:W3CDTF">2026-10-10T06:49:18Z</dcterms:modified>
  <cp:revision>0</cp:revision>
  <dc:subject/>
  <dc:title>Omzet Toko Online per Platform dan Bulan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