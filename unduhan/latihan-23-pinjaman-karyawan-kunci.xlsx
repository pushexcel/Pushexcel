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<sst xmlns="http://schemas.openxmlformats.org/spreadsheetml/2006/main" count="133" uniqueCount="126">
  <si>
    <t xml:space="preserve">Kunci Jawaban: Pinjaman Karyawan dan Cicilan Bulanan</t>
  </si>
  <si>
    <t xml:space="preserve">Latihan 23 dari 24  |  Tingkat: Lanjutan  |  Perkiraan waktu: 60 menit  |  pushexcel.github.io/Pushexcel</t>
  </si>
  <si>
    <t xml:space="preserve">Skenario</t>
  </si>
  <si>
    <t xml:space="preserve">Kamu admin koperasi karyawan PT Surya Mandiri. Ada 24 pengajuan pinjaman. Bunga pinjaman 12 persen per tahun dengan cicilan tetap bulanan. Pengajuan disetujui bila cicilan tidak lebih dari 30 persen gaji pemohon.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</si>
  <si>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</si>
  <si>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</si>
  <si>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</si>
  <si>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</si>
  <si>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</si>
  <si>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</si>
  <si>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</si>
  <si>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</si>
  <si>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</si>
  <si>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</si>
  <si>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</si>
  <si>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</si>
  <si>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</si>
  <si>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</si>
  <si>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</si>
  <si>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</si>
  <si>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</si>
  <si>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</si>
  <si>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</si>
  <si>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</si>
  <si>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cicilan tetap per bulan memakai fungsi PMT. Bunga per bulan = bunga tahunan dibagi 12. Buat hasilnya positif dan bulatkan ke rupiah.</t>
  </si>
  <si>
    <t xml:space="preserve">Sheet Data, kolom F (Cicilan per Bulan), baris 2 sampai 25</t>
  </si>
  <si>
    <t xml:space="preserve">=ROUND(-PMT($M$2/12;E2;D2);0)</t>
  </si>
  <si>
    <t xml:space="preserve">2</t>
  </si>
  <si>
    <t xml:space="preserve">Hitung total yang dibayar sampai lunas: cicilan dikali tenor.</t>
  </si>
  <si>
    <t xml:space="preserve">Sheet Data, kolom G (Total Dibayar), baris 2 sampai 25</t>
  </si>
  <si>
    <t xml:space="preserve">=F2*E2</t>
  </si>
  <si>
    <t xml:space="preserve">3</t>
  </si>
  <si>
    <t xml:space="preserve">Hitung total bunga: total dibayar dikurangi jumlah pinjaman.</t>
  </si>
  <si>
    <t xml:space="preserve">Sheet Data, kolom H (Total Bunga), baris 2 sampai 25</t>
  </si>
  <si>
    <t xml:space="preserve">=G2-D2</t>
  </si>
  <si>
    <t xml:space="preserve">4</t>
  </si>
  <si>
    <t xml:space="preserve">Hitung rasio cicilan terhadap gaji bulanan.</t>
  </si>
  <si>
    <t xml:space="preserve">Sheet Data, kolom I (Cicilan / Gaji), baris 2 sampai 25</t>
  </si>
  <si>
    <t xml:space="preserve">=F2/C2</t>
  </si>
  <si>
    <t xml:space="preserve">5</t>
  </si>
  <si>
    <t xml:space="preserve">Setujui bila cicilan sama dengan atau di bawah gaji dikali batas rasio. Selain itu Ditolak.</t>
  </si>
  <si>
    <t xml:space="preserve">Sheet Data, kolom J (Keputusan), baris 2 sampai 25</t>
  </si>
  <si>
    <t xml:space="preserve">=IF(F2&lt;=C2*$M$3;"Disetujui";"Ditolak")</t>
  </si>
  <si>
    <t xml:space="preserve">6</t>
  </si>
  <si>
    <t xml:space="preserve">Berapa total jumlah pinjaman yang diajukan, dan berapa total bunga seluruh pengajuan?</t>
  </si>
  <si>
    <t xml:space="preserve">Sheet Ringkasan, sel C4 sampai C5</t>
  </si>
  <si>
    <t xml:space="preserve">=SUM(Data!$D$2:$D$25)
=SUM(Data!$H$2:$H$25)</t>
  </si>
  <si>
    <t xml:space="preserve">7</t>
  </si>
  <si>
    <t xml:space="preserve">Berapa pengajuan yang Disetujui, dan berapa yang Ditolak?</t>
  </si>
  <si>
    <t xml:space="preserve">Sheet Ringkasan, sel C6 sampai C7</t>
  </si>
  <si>
    <t xml:space="preserve">=COUNTIF(Data!$J$2:$J$25;"Disetujui")
=COUNTIF(Data!$J$2:$J$25;"Ditolak")</t>
  </si>
  <si>
    <t xml:space="preserve">8</t>
  </si>
  <si>
    <t xml:space="preserve">Berapa total pinjaman yang disetujui, dan berapa total cicilan bulanan yang akan diterima koperasi dari pinjaman itu?</t>
  </si>
  <si>
    <t xml:space="preserve">Sheet Ringkasan, sel C8 sampai C9</t>
  </si>
  <si>
    <t xml:space="preserve">=SUMIF(Data!$J$2:$J$25;"Disetujui";Data!$D$2:$D$25)
=SUMIF(Data!$J$2:$J$25;"Disetujui";Data!$F$2:$F$25)</t>
  </si>
  <si>
    <t xml:space="preserve">9</t>
  </si>
  <si>
    <t xml:space="preserve">Berapa rata-rata rasio cicilan terhadap gaji dari seluruh pengajuan?</t>
  </si>
  <si>
    <t xml:space="preserve">Sheet Ringkasan, sel C10</t>
  </si>
  <si>
    <t xml:space="preserve">=AVERAGE(Data!$I$2:$I$25)</t>
  </si>
  <si>
    <t xml:space="preserve">10</t>
  </si>
  <si>
    <t xml:space="preserve">Siapa pemohon dengan cicilan per bulan terbesar?</t>
  </si>
  <si>
    <t xml:space="preserve">Sheet Ringkasan, sel C11</t>
  </si>
  <si>
    <t xml:space="preserve">=INDEX(Data!$B$2:$B$25;MATCH(MAX(Data!$F$2:$F$25);Data!$F$2:$F$25;0))</t>
  </si>
  <si>
    <t xml:space="preserve">Nama Karyawan</t>
  </si>
  <si>
    <t xml:space="preserve">Gaji Bulanan</t>
  </si>
  <si>
    <t xml:space="preserve">Jumlah Pinjaman</t>
  </si>
  <si>
    <t xml:space="preserve">Tenor (bulan)</t>
  </si>
  <si>
    <t xml:space="preserve">Cicilan per Bulan</t>
  </si>
  <si>
    <t xml:space="preserve">Total Dibayar</t>
  </si>
  <si>
    <t xml:space="preserve">Total Bunga</t>
  </si>
  <si>
    <t xml:space="preserve">Cicilan / Gaji</t>
  </si>
  <si>
    <t xml:space="preserve">Keputusan</t>
  </si>
  <si>
    <t xml:space="preserve">Parameter</t>
  </si>
  <si>
    <t xml:space="preserve">Nilai</t>
  </si>
  <si>
    <t xml:space="preserve">Keterangan</t>
  </si>
  <si>
    <t xml:space="preserve">Vina Handayani</t>
  </si>
  <si>
    <t xml:space="preserve">Bunga per tahun</t>
  </si>
  <si>
    <t xml:space="preserve">Umar Firmansyah</t>
  </si>
  <si>
    <t xml:space="preserve">Batas cicilan terhadap gaji</t>
  </si>
  <si>
    <t xml:space="preserve">Cicilan sama dengan atau di bawah persen ini dari gaji = Disetujui</t>
  </si>
  <si>
    <t xml:space="preserve">Ayu Pratama</t>
  </si>
  <si>
    <t xml:space="preserve">Mulyadi Pratama</t>
  </si>
  <si>
    <t xml:space="preserve">Edi Rahayu</t>
  </si>
  <si>
    <t xml:space="preserve">Ratna Anggraini</t>
  </si>
  <si>
    <t xml:space="preserve">Sari Susanto</t>
  </si>
  <si>
    <t xml:space="preserve">Dewi Handayani</t>
  </si>
  <si>
    <t xml:space="preserve">Rahmat Anggraini</t>
  </si>
  <si>
    <t xml:space="preserve">Tika Kurniawan</t>
  </si>
  <si>
    <t xml:space="preserve">Yanti Firmansyah</t>
  </si>
  <si>
    <t xml:space="preserve">Ahmad Firmansyah</t>
  </si>
  <si>
    <t xml:space="preserve">Bayu Susanto</t>
  </si>
  <si>
    <t xml:space="preserve">Dimas Anggraini</t>
  </si>
  <si>
    <t xml:space="preserve">Teguh Permana</t>
  </si>
  <si>
    <t xml:space="preserve">Anwar Anggraini</t>
  </si>
  <si>
    <t xml:space="preserve">Putri Handayani</t>
  </si>
  <si>
    <t xml:space="preserve">Wawan Utomo</t>
  </si>
  <si>
    <t xml:space="preserve">Agus Purnomo</t>
  </si>
  <si>
    <t xml:space="preserve">Maya Permana</t>
  </si>
  <si>
    <t xml:space="preserve">Wawan Permana</t>
  </si>
  <si>
    <t xml:space="preserve">Vivi Rahayu</t>
  </si>
  <si>
    <t xml:space="preserve">Hendra Saputra</t>
  </si>
  <si>
    <t xml:space="preserve">Fitri Saputra</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</si>
  <si>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</si>
  <si>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</si>
  <si>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</si>
  <si>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</si>
  <si>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</si>
  <si>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</si>
  <si>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Total jumlah pinjaman yang diajukan</t>
  </si>
  <si>
    <t xml:space="preserve">Rupiah, mis. Rp 800.000.000</t>
  </si>
  <si>
    <t xml:space="preserve">6b</t>
  </si>
  <si>
    <t xml:space="preserve">Total bunga seluruh pengajuan</t>
  </si>
  <si>
    <t xml:space="preserve">7a</t>
  </si>
  <si>
    <t xml:space="preserve">Jumlah pengajuan disetujui</t>
  </si>
  <si>
    <t xml:space="preserve">Angka bulat, mis. 17</t>
  </si>
  <si>
    <t xml:space="preserve">7b</t>
  </si>
  <si>
    <t xml:space="preserve">Jumlah pengajuan ditolak</t>
  </si>
  <si>
    <t xml:space="preserve">8a</t>
  </si>
  <si>
    <t xml:space="preserve">Total pinjaman yang disetujui</t>
  </si>
  <si>
    <t xml:space="preserve">Rupiah, mis. Rp 600.000.000</t>
  </si>
  <si>
    <t xml:space="preserve">8b</t>
  </si>
  <si>
    <t xml:space="preserve">Total cicilan bulanan dari pinjaman disetujui</t>
  </si>
  <si>
    <t xml:space="preserve">Rata-rata rasio cicilan terhadap gaji</t>
  </si>
  <si>
    <t xml:space="preserve">Persen, mis. 24,5%</t>
  </si>
  <si>
    <t xml:space="preserve">Pemohon dengan cicilan terbesar</t>
  </si>
  <si>
    <t xml:space="preserve">Teks: nama karyawan</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</si>
</sst>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45"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42"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42" hidden="false" customHeight="true" outlineLevel="0" collapsed="false">
      <c r="A27" s="13" t="s">
        <v>47</v>
      </c>
      <c r="B27" s="14" t="s">
        <v>48</v>
      </c>
      <c r="C27" s="14" t="s">
        <v>49</v>
      </c>
      <c r="D27" s="15" t="s">
        <v>50</v>
      </c>
    </row>
    <row r="28" customFormat="false" ht="42"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5"/>
    <col collapsed="false" customWidth="true" hidden="false" outlineLevel="0" max="4" min="4" style="0" width="16"/>
    <col collapsed="false" customWidth="true" hidden="false" outlineLevel="0" max="5" min="5" style="0" width="12"/>
    <col collapsed="false" customWidth="true" hidden="false" outlineLevel="0" max="7" min="6" style="0" width="15"/>
    <col collapsed="false" customWidth="true" hidden="false" outlineLevel="0" max="8" min="8" style="0" width="14"/>
    <col collapsed="false" customWidth="true" hidden="false" outlineLevel="0" max="9" min="9" style="0" width="12"/>
    <col collapsed="false" customWidth="true" hidden="false" outlineLevel="0" max="10" min="10" style="0" width="13"/>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2" t="s">
        <v>19</v>
      </c>
      <c r="B1" s="12" t="s">
        <v>63</v>
      </c>
      <c r="C1" s="12" t="s">
        <v>64</v>
      </c>
      <c r="D1" s="12" t="s">
        <v>65</v>
      </c>
      <c r="E1" s="12" t="s">
        <v>66</v>
      </c>
      <c r="F1" s="16" t="s">
        <v>67</v>
      </c>
      <c r="G1" s="16" t="s">
        <v>68</v>
      </c>
      <c r="H1" s="16" t="s">
        <v>69</v>
      </c>
      <c r="I1" s="16" t="s">
        <v>70</v>
      </c>
      <c r="J1" s="16" t="s">
        <v>71</v>
      </c>
      <c r="L1" s="17" t="s">
        <v>72</v>
      </c>
      <c r="M1" s="17" t="s">
        <v>73</v>
      </c>
      <c r="N1" s="17" t="s">
        <v>74</v>
      </c>
    </row>
    <row r="2" customFormat="false" ht="15" hidden="false" customHeight="false" outlineLevel="0" collapsed="false">
      <c r="A2" s="18" t="n">
        <v>1</v>
      </c>
      <c r="B2" s="19" t="s">
        <v>75</v>
      </c>
      <c r="C2" s="20" t="n">
        <v>8500000</v>
      </c>
      <c r="D2" s="20" t="n">
        <v>8000000</v>
      </c>
      <c r="E2" s="18" t="n">
        <v>6</v>
      </c>
      <c r="F2" s="21" t="n">
        <f aca="false">ROUND(-PMT($M$2/12,E2,D2),0)</f>
        <v>1380387</v>
      </c>
      <c r="G2" s="21" t="n">
        <f aca="false">F2*E2</f>
        <v>8282322</v>
      </c>
      <c r="H2" s="21" t="n">
        <f aca="false">G2-D2</f>
        <v>282322</v>
      </c>
      <c r="I2" s="22" t="n">
        <f aca="false">F2/C2</f>
        <v>0.162398470588235</v>
      </c>
      <c r="J2" s="23" t="str">
        <f aca="false">IF(F2&lt;=C2*$M$3,"Disetujui","Ditolak")</f>
        <v>Disetujui</v>
      </c>
      <c r="L2" s="24" t="s">
        <v>76</v>
      </c>
      <c r="M2" s="25" t="n">
        <v>0.12</v>
      </c>
      <c r="N2" s="26"/>
    </row>
    <row r="3" customFormat="false" ht="22.35" hidden="false" customHeight="false" outlineLevel="0" collapsed="false">
      <c r="A3" s="18" t="n">
        <v>2</v>
      </c>
      <c r="B3" s="19" t="s">
        <v>77</v>
      </c>
      <c r="C3" s="20" t="n">
        <v>12500000</v>
      </c>
      <c r="D3" s="20" t="n">
        <v>29000000</v>
      </c>
      <c r="E3" s="18" t="n">
        <v>24</v>
      </c>
      <c r="F3" s="21" t="n">
        <f aca="false">ROUND(-PMT($M$2/12,E3,D3),0)</f>
        <v>1365131</v>
      </c>
      <c r="G3" s="21" t="n">
        <f aca="false">F3*E3</f>
        <v>32763144</v>
      </c>
      <c r="H3" s="21" t="n">
        <f aca="false">G3-D3</f>
        <v>3763144</v>
      </c>
      <c r="I3" s="22" t="n">
        <f aca="false">F3/C3</f>
        <v>0.10921048</v>
      </c>
      <c r="J3" s="23" t="str">
        <f aca="false">IF(F3&lt;=C3*$M$3,"Disetujui","Ditolak")</f>
        <v>Disetujui</v>
      </c>
      <c r="L3" s="24" t="s">
        <v>78</v>
      </c>
      <c r="M3" s="25" t="n">
        <v>0.3</v>
      </c>
      <c r="N3" s="26" t="s">
        <v>79</v>
      </c>
    </row>
    <row r="4" customFormat="false" ht="15" hidden="false" customHeight="false" outlineLevel="0" collapsed="false">
      <c r="A4" s="18" t="n">
        <v>3</v>
      </c>
      <c r="B4" s="19" t="s">
        <v>80</v>
      </c>
      <c r="C4" s="20" t="n">
        <v>8500000</v>
      </c>
      <c r="D4" s="20" t="n">
        <v>37000000</v>
      </c>
      <c r="E4" s="18" t="n">
        <v>36</v>
      </c>
      <c r="F4" s="21" t="n">
        <f aca="false">ROUND(-PMT($M$2/12,E4,D4),0)</f>
        <v>1228929</v>
      </c>
      <c r="G4" s="21" t="n">
        <f aca="false">F4*E4</f>
        <v>44241444</v>
      </c>
      <c r="H4" s="21" t="n">
        <f aca="false">G4-D4</f>
        <v>7241444</v>
      </c>
      <c r="I4" s="22" t="n">
        <f aca="false">F4/C4</f>
        <v>0.144579882352941</v>
      </c>
      <c r="J4" s="23" t="str">
        <f aca="false">IF(F4&lt;=C4*$M$3,"Disetujui","Ditolak")</f>
        <v>Disetujui</v>
      </c>
    </row>
    <row r="5" customFormat="false" ht="15" hidden="false" customHeight="false" outlineLevel="0" collapsed="false">
      <c r="A5" s="18" t="n">
        <v>4</v>
      </c>
      <c r="B5" s="19" t="s">
        <v>81</v>
      </c>
      <c r="C5" s="20" t="n">
        <v>14000000</v>
      </c>
      <c r="D5" s="20" t="n">
        <v>15000000</v>
      </c>
      <c r="E5" s="18" t="n">
        <v>12</v>
      </c>
      <c r="F5" s="21" t="n">
        <f aca="false">ROUND(-PMT($M$2/12,E5,D5),0)</f>
        <v>1332732</v>
      </c>
      <c r="G5" s="21" t="n">
        <f aca="false">F5*E5</f>
        <v>15992784</v>
      </c>
      <c r="H5" s="21" t="n">
        <f aca="false">G5-D5</f>
        <v>992784</v>
      </c>
      <c r="I5" s="22" t="n">
        <f aca="false">F5/C5</f>
        <v>0.0951951428571429</v>
      </c>
      <c r="J5" s="23" t="str">
        <f aca="false">IF(F5&lt;=C5*$M$3,"Disetujui","Ditolak")</f>
        <v>Disetujui</v>
      </c>
    </row>
    <row r="6" customFormat="false" ht="15" hidden="false" customHeight="false" outlineLevel="0" collapsed="false">
      <c r="A6" s="18" t="n">
        <v>5</v>
      </c>
      <c r="B6" s="19" t="s">
        <v>82</v>
      </c>
      <c r="C6" s="20" t="n">
        <v>5000000</v>
      </c>
      <c r="D6" s="20" t="n">
        <v>57000000</v>
      </c>
      <c r="E6" s="18" t="n">
        <v>36</v>
      </c>
      <c r="F6" s="21" t="n">
        <f aca="false">ROUND(-PMT($M$2/12,E6,D6),0)</f>
        <v>1893216</v>
      </c>
      <c r="G6" s="21" t="n">
        <f aca="false">F6*E6</f>
        <v>68155776</v>
      </c>
      <c r="H6" s="21" t="n">
        <f aca="false">G6-D6</f>
        <v>11155776</v>
      </c>
      <c r="I6" s="22" t="n">
        <f aca="false">F6/C6</f>
        <v>0.3786432</v>
      </c>
      <c r="J6" s="23" t="str">
        <f aca="false">IF(F6&lt;=C6*$M$3,"Disetujui","Ditolak")</f>
        <v>Ditolak</v>
      </c>
    </row>
    <row r="7" customFormat="false" ht="15" hidden="false" customHeight="false" outlineLevel="0" collapsed="false">
      <c r="A7" s="18" t="n">
        <v>6</v>
      </c>
      <c r="B7" s="19" t="s">
        <v>83</v>
      </c>
      <c r="C7" s="20" t="n">
        <v>6000000</v>
      </c>
      <c r="D7" s="20" t="n">
        <v>37000000</v>
      </c>
      <c r="E7" s="18" t="n">
        <v>24</v>
      </c>
      <c r="F7" s="21" t="n">
        <f aca="false">ROUND(-PMT($M$2/12,E7,D7),0)</f>
        <v>1741718</v>
      </c>
      <c r="G7" s="21" t="n">
        <f aca="false">F7*E7</f>
        <v>41801232</v>
      </c>
      <c r="H7" s="21" t="n">
        <f aca="false">G7-D7</f>
        <v>4801232</v>
      </c>
      <c r="I7" s="22" t="n">
        <f aca="false">F7/C7</f>
        <v>0.290286333333333</v>
      </c>
      <c r="J7" s="23" t="str">
        <f aca="false">IF(F7&lt;=C7*$M$3,"Disetujui","Ditolak")</f>
        <v>Disetujui</v>
      </c>
    </row>
    <row r="8" customFormat="false" ht="15" hidden="false" customHeight="false" outlineLevel="0" collapsed="false">
      <c r="A8" s="18" t="n">
        <v>7</v>
      </c>
      <c r="B8" s="19" t="s">
        <v>84</v>
      </c>
      <c r="C8" s="20" t="n">
        <v>8000000</v>
      </c>
      <c r="D8" s="20" t="n">
        <v>56000000</v>
      </c>
      <c r="E8" s="18" t="n">
        <v>24</v>
      </c>
      <c r="F8" s="21" t="n">
        <f aca="false">ROUND(-PMT($M$2/12,E8,D8),0)</f>
        <v>2636114</v>
      </c>
      <c r="G8" s="21" t="n">
        <f aca="false">F8*E8</f>
        <v>63266736</v>
      </c>
      <c r="H8" s="21" t="n">
        <f aca="false">G8-D8</f>
        <v>7266736</v>
      </c>
      <c r="I8" s="22" t="n">
        <f aca="false">F8/C8</f>
        <v>0.32951425</v>
      </c>
      <c r="J8" s="23" t="str">
        <f aca="false">IF(F8&lt;=C8*$M$3,"Disetujui","Ditolak")</f>
        <v>Ditolak</v>
      </c>
    </row>
    <row r="9" customFormat="false" ht="15" hidden="false" customHeight="false" outlineLevel="0" collapsed="false">
      <c r="A9" s="18" t="n">
        <v>8</v>
      </c>
      <c r="B9" s="19" t="s">
        <v>85</v>
      </c>
      <c r="C9" s="20" t="n">
        <v>9000000</v>
      </c>
      <c r="D9" s="20" t="n">
        <v>50000000</v>
      </c>
      <c r="E9" s="18" t="n">
        <v>18</v>
      </c>
      <c r="F9" s="21" t="n">
        <f aca="false">ROUND(-PMT($M$2/12,E9,D9),0)</f>
        <v>3049102</v>
      </c>
      <c r="G9" s="21" t="n">
        <f aca="false">F9*E9</f>
        <v>54883836</v>
      </c>
      <c r="H9" s="21" t="n">
        <f aca="false">G9-D9</f>
        <v>4883836</v>
      </c>
      <c r="I9" s="22" t="n">
        <f aca="false">F9/C9</f>
        <v>0.338789111111111</v>
      </c>
      <c r="J9" s="23" t="str">
        <f aca="false">IF(F9&lt;=C9*$M$3,"Disetujui","Ditolak")</f>
        <v>Ditolak</v>
      </c>
    </row>
    <row r="10" customFormat="false" ht="15" hidden="false" customHeight="false" outlineLevel="0" collapsed="false">
      <c r="A10" s="18" t="n">
        <v>9</v>
      </c>
      <c r="B10" s="19" t="s">
        <v>86</v>
      </c>
      <c r="C10" s="20" t="n">
        <v>5000000</v>
      </c>
      <c r="D10" s="20" t="n">
        <v>17000000</v>
      </c>
      <c r="E10" s="18" t="n">
        <v>18</v>
      </c>
      <c r="F10" s="21" t="n">
        <f aca="false">ROUND(-PMT($M$2/12,E10,D10),0)</f>
        <v>1036695</v>
      </c>
      <c r="G10" s="21" t="n">
        <f aca="false">F10*E10</f>
        <v>18660510</v>
      </c>
      <c r="H10" s="21" t="n">
        <f aca="false">G10-D10</f>
        <v>1660510</v>
      </c>
      <c r="I10" s="22" t="n">
        <f aca="false">F10/C10</f>
        <v>0.207339</v>
      </c>
      <c r="J10" s="23" t="str">
        <f aca="false">IF(F10&lt;=C10*$M$3,"Disetujui","Ditolak")</f>
        <v>Disetujui</v>
      </c>
    </row>
    <row r="11" customFormat="false" ht="15" hidden="false" customHeight="false" outlineLevel="0" collapsed="false">
      <c r="A11" s="18" t="n">
        <v>10</v>
      </c>
      <c r="B11" s="19" t="s">
        <v>87</v>
      </c>
      <c r="C11" s="20" t="n">
        <v>4500000</v>
      </c>
      <c r="D11" s="20" t="n">
        <v>57000000</v>
      </c>
      <c r="E11" s="18" t="n">
        <v>6</v>
      </c>
      <c r="F11" s="21" t="n">
        <f aca="false">ROUND(-PMT($M$2/12,E11,D11),0)</f>
        <v>9835257</v>
      </c>
      <c r="G11" s="21" t="n">
        <f aca="false">F11*E11</f>
        <v>59011542</v>
      </c>
      <c r="H11" s="21" t="n">
        <f aca="false">G11-D11</f>
        <v>2011542</v>
      </c>
      <c r="I11" s="22" t="n">
        <f aca="false">F11/C11</f>
        <v>2.18561266666667</v>
      </c>
      <c r="J11" s="23" t="str">
        <f aca="false">IF(F11&lt;=C11*$M$3,"Disetujui","Ditolak")</f>
        <v>Ditolak</v>
      </c>
    </row>
    <row r="12" customFormat="false" ht="15" hidden="false" customHeight="false" outlineLevel="0" collapsed="false">
      <c r="A12" s="18" t="n">
        <v>11</v>
      </c>
      <c r="B12" s="19" t="s">
        <v>88</v>
      </c>
      <c r="C12" s="20" t="n">
        <v>11000000</v>
      </c>
      <c r="D12" s="20" t="n">
        <v>53000000</v>
      </c>
      <c r="E12" s="18" t="n">
        <v>36</v>
      </c>
      <c r="F12" s="21" t="n">
        <f aca="false">ROUND(-PMT($M$2/12,E12,D12),0)</f>
        <v>1760358</v>
      </c>
      <c r="G12" s="21" t="n">
        <f aca="false">F12*E12</f>
        <v>63372888</v>
      </c>
      <c r="H12" s="21" t="n">
        <f aca="false">G12-D12</f>
        <v>10372888</v>
      </c>
      <c r="I12" s="22" t="n">
        <f aca="false">F12/C12</f>
        <v>0.160032545454545</v>
      </c>
      <c r="J12" s="23" t="str">
        <f aca="false">IF(F12&lt;=C12*$M$3,"Disetujui","Ditolak")</f>
        <v>Disetujui</v>
      </c>
    </row>
    <row r="13" customFormat="false" ht="15" hidden="false" customHeight="false" outlineLevel="0" collapsed="false">
      <c r="A13" s="18" t="n">
        <v>12</v>
      </c>
      <c r="B13" s="19" t="s">
        <v>89</v>
      </c>
      <c r="C13" s="20" t="n">
        <v>8500000</v>
      </c>
      <c r="D13" s="20" t="n">
        <v>36000000</v>
      </c>
      <c r="E13" s="18" t="n">
        <v>18</v>
      </c>
      <c r="F13" s="21" t="n">
        <f aca="false">ROUND(-PMT($M$2/12,E13,D13),0)</f>
        <v>2195354</v>
      </c>
      <c r="G13" s="21" t="n">
        <f aca="false">F13*E13</f>
        <v>39516372</v>
      </c>
      <c r="H13" s="21" t="n">
        <f aca="false">G13-D13</f>
        <v>3516372</v>
      </c>
      <c r="I13" s="22" t="n">
        <f aca="false">F13/C13</f>
        <v>0.258276941176471</v>
      </c>
      <c r="J13" s="23" t="str">
        <f aca="false">IF(F13&lt;=C13*$M$3,"Disetujui","Ditolak")</f>
        <v>Disetujui</v>
      </c>
    </row>
    <row r="14" customFormat="false" ht="15" hidden="false" customHeight="false" outlineLevel="0" collapsed="false">
      <c r="A14" s="18" t="n">
        <v>13</v>
      </c>
      <c r="B14" s="19" t="s">
        <v>90</v>
      </c>
      <c r="C14" s="20" t="n">
        <v>9500000</v>
      </c>
      <c r="D14" s="20" t="n">
        <v>58000000</v>
      </c>
      <c r="E14" s="18" t="n">
        <v>12</v>
      </c>
      <c r="F14" s="21" t="n">
        <f aca="false">ROUND(-PMT($M$2/12,E14,D14),0)</f>
        <v>5153230</v>
      </c>
      <c r="G14" s="21" t="n">
        <f aca="false">F14*E14</f>
        <v>61838760</v>
      </c>
      <c r="H14" s="21" t="n">
        <f aca="false">G14-D14</f>
        <v>3838760</v>
      </c>
      <c r="I14" s="22" t="n">
        <f aca="false">F14/C14</f>
        <v>0.542445263157895</v>
      </c>
      <c r="J14" s="23" t="str">
        <f aca="false">IF(F14&lt;=C14*$M$3,"Disetujui","Ditolak")</f>
        <v>Ditolak</v>
      </c>
    </row>
    <row r="15" customFormat="false" ht="15" hidden="false" customHeight="false" outlineLevel="0" collapsed="false">
      <c r="A15" s="18" t="n">
        <v>14</v>
      </c>
      <c r="B15" s="19" t="s">
        <v>91</v>
      </c>
      <c r="C15" s="20" t="n">
        <v>11000000</v>
      </c>
      <c r="D15" s="20" t="n">
        <v>7000000</v>
      </c>
      <c r="E15" s="18" t="n">
        <v>24</v>
      </c>
      <c r="F15" s="21" t="n">
        <f aca="false">ROUND(-PMT($M$2/12,E15,D15),0)</f>
        <v>329514</v>
      </c>
      <c r="G15" s="21" t="n">
        <f aca="false">F15*E15</f>
        <v>7908336</v>
      </c>
      <c r="H15" s="21" t="n">
        <f aca="false">G15-D15</f>
        <v>908336</v>
      </c>
      <c r="I15" s="22" t="n">
        <f aca="false">F15/C15</f>
        <v>0.0299558181818182</v>
      </c>
      <c r="J15" s="23" t="str">
        <f aca="false">IF(F15&lt;=C15*$M$3,"Disetujui","Ditolak")</f>
        <v>Disetujui</v>
      </c>
    </row>
    <row r="16" customFormat="false" ht="15" hidden="false" customHeight="false" outlineLevel="0" collapsed="false">
      <c r="A16" s="18" t="n">
        <v>15</v>
      </c>
      <c r="B16" s="19" t="s">
        <v>92</v>
      </c>
      <c r="C16" s="20" t="n">
        <v>4000000</v>
      </c>
      <c r="D16" s="20" t="n">
        <v>36000000</v>
      </c>
      <c r="E16" s="18" t="n">
        <v>36</v>
      </c>
      <c r="F16" s="21" t="n">
        <f aca="false">ROUND(-PMT($M$2/12,E16,D16),0)</f>
        <v>1195715</v>
      </c>
      <c r="G16" s="21" t="n">
        <f aca="false">F16*E16</f>
        <v>43045740</v>
      </c>
      <c r="H16" s="21" t="n">
        <f aca="false">G16-D16</f>
        <v>7045740</v>
      </c>
      <c r="I16" s="22" t="n">
        <f aca="false">F16/C16</f>
        <v>0.29892875</v>
      </c>
      <c r="J16" s="23" t="str">
        <f aca="false">IF(F16&lt;=C16*$M$3,"Disetujui","Ditolak")</f>
        <v>Disetujui</v>
      </c>
    </row>
    <row r="17" customFormat="false" ht="15" hidden="false" customHeight="false" outlineLevel="0" collapsed="false">
      <c r="A17" s="18" t="n">
        <v>16</v>
      </c>
      <c r="B17" s="19" t="s">
        <v>93</v>
      </c>
      <c r="C17" s="20" t="n">
        <v>8500000</v>
      </c>
      <c r="D17" s="20" t="n">
        <v>34000000</v>
      </c>
      <c r="E17" s="18" t="n">
        <v>18</v>
      </c>
      <c r="F17" s="21" t="n">
        <f aca="false">ROUND(-PMT($M$2/12,E17,D17),0)</f>
        <v>2073390</v>
      </c>
      <c r="G17" s="21" t="n">
        <f aca="false">F17*E17</f>
        <v>37321020</v>
      </c>
      <c r="H17" s="21" t="n">
        <f aca="false">G17-D17</f>
        <v>3321020</v>
      </c>
      <c r="I17" s="22" t="n">
        <f aca="false">F17/C17</f>
        <v>0.243928235294118</v>
      </c>
      <c r="J17" s="23" t="str">
        <f aca="false">IF(F17&lt;=C17*$M$3,"Disetujui","Ditolak")</f>
        <v>Disetujui</v>
      </c>
    </row>
    <row r="18" customFormat="false" ht="15" hidden="false" customHeight="false" outlineLevel="0" collapsed="false">
      <c r="A18" s="18" t="n">
        <v>17</v>
      </c>
      <c r="B18" s="19" t="s">
        <v>94</v>
      </c>
      <c r="C18" s="20" t="n">
        <v>7000000</v>
      </c>
      <c r="D18" s="20" t="n">
        <v>8000000</v>
      </c>
      <c r="E18" s="18" t="n">
        <v>36</v>
      </c>
      <c r="F18" s="21" t="n">
        <f aca="false">ROUND(-PMT($M$2/12,E18,D18),0)</f>
        <v>265714</v>
      </c>
      <c r="G18" s="21" t="n">
        <f aca="false">F18*E18</f>
        <v>9565704</v>
      </c>
      <c r="H18" s="21" t="n">
        <f aca="false">G18-D18</f>
        <v>1565704</v>
      </c>
      <c r="I18" s="22" t="n">
        <f aca="false">F18/C18</f>
        <v>0.0379591428571429</v>
      </c>
      <c r="J18" s="23" t="str">
        <f aca="false">IF(F18&lt;=C18*$M$3,"Disetujui","Ditolak")</f>
        <v>Disetujui</v>
      </c>
    </row>
    <row r="19" customFormat="false" ht="15" hidden="false" customHeight="false" outlineLevel="0" collapsed="false">
      <c r="A19" s="18" t="n">
        <v>18</v>
      </c>
      <c r="B19" s="19" t="s">
        <v>95</v>
      </c>
      <c r="C19" s="20" t="n">
        <v>4000000</v>
      </c>
      <c r="D19" s="20" t="n">
        <v>17000000</v>
      </c>
      <c r="E19" s="18" t="n">
        <v>18</v>
      </c>
      <c r="F19" s="21" t="n">
        <f aca="false">ROUND(-PMT($M$2/12,E19,D19),0)</f>
        <v>1036695</v>
      </c>
      <c r="G19" s="21" t="n">
        <f aca="false">F19*E19</f>
        <v>18660510</v>
      </c>
      <c r="H19" s="21" t="n">
        <f aca="false">G19-D19</f>
        <v>1660510</v>
      </c>
      <c r="I19" s="22" t="n">
        <f aca="false">F19/C19</f>
        <v>0.25917375</v>
      </c>
      <c r="J19" s="23" t="str">
        <f aca="false">IF(F19&lt;=C19*$M$3,"Disetujui","Ditolak")</f>
        <v>Disetujui</v>
      </c>
    </row>
    <row r="20" customFormat="false" ht="15" hidden="false" customHeight="false" outlineLevel="0" collapsed="false">
      <c r="A20" s="18" t="n">
        <v>19</v>
      </c>
      <c r="B20" s="19" t="s">
        <v>96</v>
      </c>
      <c r="C20" s="20" t="n">
        <v>5000000</v>
      </c>
      <c r="D20" s="20" t="n">
        <v>11000000</v>
      </c>
      <c r="E20" s="18" t="n">
        <v>6</v>
      </c>
      <c r="F20" s="21" t="n">
        <f aca="false">ROUND(-PMT($M$2/12,E20,D20),0)</f>
        <v>1898032</v>
      </c>
      <c r="G20" s="21" t="n">
        <f aca="false">F20*E20</f>
        <v>11388192</v>
      </c>
      <c r="H20" s="21" t="n">
        <f aca="false">G20-D20</f>
        <v>388192</v>
      </c>
      <c r="I20" s="22" t="n">
        <f aca="false">F20/C20</f>
        <v>0.3796064</v>
      </c>
      <c r="J20" s="23" t="str">
        <f aca="false">IF(F20&lt;=C20*$M$3,"Disetujui","Ditolak")</f>
        <v>Ditolak</v>
      </c>
    </row>
    <row r="21" customFormat="false" ht="15" hidden="false" customHeight="false" outlineLevel="0" collapsed="false">
      <c r="A21" s="18" t="n">
        <v>20</v>
      </c>
      <c r="B21" s="19" t="s">
        <v>97</v>
      </c>
      <c r="C21" s="20" t="n">
        <v>7500000</v>
      </c>
      <c r="D21" s="20" t="n">
        <v>9000000</v>
      </c>
      <c r="E21" s="18" t="n">
        <v>12</v>
      </c>
      <c r="F21" s="21" t="n">
        <f aca="false">ROUND(-PMT($M$2/12,E21,D21),0)</f>
        <v>799639</v>
      </c>
      <c r="G21" s="21" t="n">
        <f aca="false">F21*E21</f>
        <v>9595668</v>
      </c>
      <c r="H21" s="21" t="n">
        <f aca="false">G21-D21</f>
        <v>595668</v>
      </c>
      <c r="I21" s="22" t="n">
        <f aca="false">F21/C21</f>
        <v>0.106618533333333</v>
      </c>
      <c r="J21" s="23" t="str">
        <f aca="false">IF(F21&lt;=C21*$M$3,"Disetujui","Ditolak")</f>
        <v>Disetujui</v>
      </c>
    </row>
    <row r="22" customFormat="false" ht="15" hidden="false" customHeight="false" outlineLevel="0" collapsed="false">
      <c r="A22" s="18" t="n">
        <v>21</v>
      </c>
      <c r="B22" s="19" t="s">
        <v>98</v>
      </c>
      <c r="C22" s="20" t="n">
        <v>10000000</v>
      </c>
      <c r="D22" s="20" t="n">
        <v>27000000</v>
      </c>
      <c r="E22" s="18" t="n">
        <v>6</v>
      </c>
      <c r="F22" s="21" t="n">
        <f aca="false">ROUND(-PMT($M$2/12,E22,D22),0)</f>
        <v>4658806</v>
      </c>
      <c r="G22" s="21" t="n">
        <f aca="false">F22*E22</f>
        <v>27952836</v>
      </c>
      <c r="H22" s="21" t="n">
        <f aca="false">G22-D22</f>
        <v>952836</v>
      </c>
      <c r="I22" s="22" t="n">
        <f aca="false">F22/C22</f>
        <v>0.4658806</v>
      </c>
      <c r="J22" s="23" t="str">
        <f aca="false">IF(F22&lt;=C22*$M$3,"Disetujui","Ditolak")</f>
        <v>Ditolak</v>
      </c>
    </row>
    <row r="23" customFormat="false" ht="15" hidden="false" customHeight="false" outlineLevel="0" collapsed="false">
      <c r="A23" s="18" t="n">
        <v>22</v>
      </c>
      <c r="B23" s="19" t="s">
        <v>99</v>
      </c>
      <c r="C23" s="20" t="n">
        <v>12000000</v>
      </c>
      <c r="D23" s="20" t="n">
        <v>55000000</v>
      </c>
      <c r="E23" s="18" t="n">
        <v>24</v>
      </c>
      <c r="F23" s="21" t="n">
        <f aca="false">ROUND(-PMT($M$2/12,E23,D23),0)</f>
        <v>2589041</v>
      </c>
      <c r="G23" s="21" t="n">
        <f aca="false">F23*E23</f>
        <v>62136984</v>
      </c>
      <c r="H23" s="21" t="n">
        <f aca="false">G23-D23</f>
        <v>7136984</v>
      </c>
      <c r="I23" s="22" t="n">
        <f aca="false">F23/C23</f>
        <v>0.215753416666667</v>
      </c>
      <c r="J23" s="23" t="str">
        <f aca="false">IF(F23&lt;=C23*$M$3,"Disetujui","Ditolak")</f>
        <v>Disetujui</v>
      </c>
    </row>
    <row r="24" customFormat="false" ht="15" hidden="false" customHeight="false" outlineLevel="0" collapsed="false">
      <c r="A24" s="18" t="n">
        <v>23</v>
      </c>
      <c r="B24" s="19" t="s">
        <v>100</v>
      </c>
      <c r="C24" s="20" t="n">
        <v>10500000</v>
      </c>
      <c r="D24" s="20" t="n">
        <v>29000000</v>
      </c>
      <c r="E24" s="18" t="n">
        <v>36</v>
      </c>
      <c r="F24" s="21" t="n">
        <f aca="false">ROUND(-PMT($M$2/12,E24,D24),0)</f>
        <v>963215</v>
      </c>
      <c r="G24" s="21" t="n">
        <f aca="false">F24*E24</f>
        <v>34675740</v>
      </c>
      <c r="H24" s="21" t="n">
        <f aca="false">G24-D24</f>
        <v>5675740</v>
      </c>
      <c r="I24" s="22" t="n">
        <f aca="false">F24/C24</f>
        <v>0.0917347619047619</v>
      </c>
      <c r="J24" s="23" t="str">
        <f aca="false">IF(F24&lt;=C24*$M$3,"Disetujui","Ditolak")</f>
        <v>Disetujui</v>
      </c>
    </row>
    <row r="25" customFormat="false" ht="15" hidden="false" customHeight="false" outlineLevel="0" collapsed="false">
      <c r="A25" s="18" t="n">
        <v>24</v>
      </c>
      <c r="B25" s="19" t="s">
        <v>101</v>
      </c>
      <c r="C25" s="20" t="n">
        <v>9000000</v>
      </c>
      <c r="D25" s="20" t="n">
        <v>47000000</v>
      </c>
      <c r="E25" s="18" t="n">
        <v>36</v>
      </c>
      <c r="F25" s="21" t="n">
        <f aca="false">ROUND(-PMT($M$2/12,E25,D25),0)</f>
        <v>1561073</v>
      </c>
      <c r="G25" s="21" t="n">
        <f aca="false">F25*E25</f>
        <v>56198628</v>
      </c>
      <c r="H25" s="21" t="n">
        <f aca="false">G25-D25</f>
        <v>9198628</v>
      </c>
      <c r="I25" s="22" t="n">
        <f aca="false">F25/C25</f>
        <v>0.173452555555556</v>
      </c>
      <c r="J25" s="23" t="str">
        <f aca="false">IF(F25&lt;=C25*$M$3,"Disetujui","Ditolak")</f>
        <v>Disetujui</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102</v>
      </c>
      <c r="B1" s="27"/>
      <c r="C1" s="27"/>
      <c r="D1" s="27"/>
    </row>
    <row r="2" customFormat="false" ht="15" hidden="false" customHeight="false" outlineLevel="0" collapsed="false">
      <c r="A2" s="28" t="s">
        <v>103</v>
      </c>
      <c r="B2" s="28"/>
      <c r="C2" s="28"/>
      <c r="D2" s="28"/>
    </row>
    <row r="3" customFormat="false" ht="15" hidden="false" customHeight="false" outlineLevel="0" collapsed="false">
      <c r="A3" s="12" t="s">
        <v>19</v>
      </c>
      <c r="B3" s="12" t="s">
        <v>104</v>
      </c>
      <c r="C3" s="12" t="s">
        <v>105</v>
      </c>
      <c r="D3" s="12" t="s">
        <v>106</v>
      </c>
    </row>
    <row r="4" customFormat="false" ht="19.5" hidden="false" customHeight="true" outlineLevel="0" collapsed="false">
      <c r="A4" s="29" t="s">
        <v>107</v>
      </c>
      <c r="B4" s="30" t="s">
        <v>108</v>
      </c>
      <c r="C4" s="21" t="n">
        <f aca="false">SUM(Data!$D$2:$D$25)</f>
        <v>790000000</v>
      </c>
      <c r="D4" s="26" t="s">
        <v>109</v>
      </c>
    </row>
    <row r="5" customFormat="false" ht="19.5" hidden="false" customHeight="true" outlineLevel="0" collapsed="false">
      <c r="A5" s="29" t="s">
        <v>110</v>
      </c>
      <c r="B5" s="30" t="s">
        <v>111</v>
      </c>
      <c r="C5" s="21" t="n">
        <f aca="false">SUM(Data!$H$2:$H$25)</f>
        <v>100236704</v>
      </c>
      <c r="D5" s="26" t="s">
        <v>109</v>
      </c>
    </row>
    <row r="6" customFormat="false" ht="19.5" hidden="false" customHeight="true" outlineLevel="0" collapsed="false">
      <c r="A6" s="29" t="s">
        <v>112</v>
      </c>
      <c r="B6" s="30" t="s">
        <v>113</v>
      </c>
      <c r="C6" s="31" t="n">
        <f aca="false">COUNTIF(Data!$J$2:$J$25,"Disetujui")</f>
        <v>17</v>
      </c>
      <c r="D6" s="26" t="s">
        <v>114</v>
      </c>
    </row>
    <row r="7" customFormat="false" ht="19.5" hidden="false" customHeight="true" outlineLevel="0" collapsed="false">
      <c r="A7" s="29" t="s">
        <v>115</v>
      </c>
      <c r="B7" s="30" t="s">
        <v>116</v>
      </c>
      <c r="C7" s="31" t="n">
        <f aca="false">COUNTIF(Data!$J$2:$J$25,"Ditolak")</f>
        <v>7</v>
      </c>
      <c r="D7" s="26" t="s">
        <v>114</v>
      </c>
    </row>
    <row r="8" customFormat="false" ht="19.5" hidden="false" customHeight="true" outlineLevel="0" collapsed="false">
      <c r="A8" s="29" t="s">
        <v>117</v>
      </c>
      <c r="B8" s="30" t="s">
        <v>118</v>
      </c>
      <c r="C8" s="21" t="n">
        <f aca="false">SUMIF(Data!$J$2:$J$25,"Disetujui",Data!$D$2:$D$25)</f>
        <v>474000000</v>
      </c>
      <c r="D8" s="26" t="s">
        <v>119</v>
      </c>
    </row>
    <row r="9" customFormat="false" ht="19.5" hidden="false" customHeight="true" outlineLevel="0" collapsed="false">
      <c r="A9" s="29" t="s">
        <v>120</v>
      </c>
      <c r="B9" s="30" t="s">
        <v>121</v>
      </c>
      <c r="C9" s="21" t="n">
        <f aca="false">SUMIF(Data!$J$2:$J$25,"Disetujui",Data!$F$2:$F$25)</f>
        <v>22855300</v>
      </c>
      <c r="D9" s="26" t="s">
        <v>119</v>
      </c>
    </row>
    <row r="10" customFormat="false" ht="19.5" hidden="false" customHeight="true" outlineLevel="0" collapsed="false">
      <c r="A10" s="29" t="s">
        <v>55</v>
      </c>
      <c r="B10" s="30" t="s">
        <v>122</v>
      </c>
      <c r="C10" s="22" t="n">
        <f aca="false">AVERAGE(Data!$I$2:$I$25)</f>
        <v>0.312721468770489</v>
      </c>
      <c r="D10" s="26" t="s">
        <v>123</v>
      </c>
    </row>
    <row r="11" customFormat="false" ht="19.5" hidden="false" customHeight="true" outlineLevel="0" collapsed="false">
      <c r="A11" s="29" t="s">
        <v>59</v>
      </c>
      <c r="B11" s="30" t="s">
        <v>124</v>
      </c>
      <c r="C11" s="23" t="str">
        <f aca="false">INDEX(Data!$B$2:$B$25,MATCH(MAX(Data!$F$2:$F$25),Data!$F$2:$F$25,0))</f>
        <v>Tika Kurniawan</v>
      </c>
      <c r="D11" s="26" t="s">
        <v>125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2026-10-10T06:49:19Z</dcterms:created>
  <dc:creator>PushExcel</dc:creator>
  <dc:description/>
  <dc:language>en-US</dc:language>
  <cp:lastModifiedBy/>
  <dcterms:modified xsi:type="dcterms:W3CDTF">2026-10-10T06:49:19Z</dcterms:modified>
  <cp:revision>0</cp:revision>
  <dc:subject/>
  <dc:title>Pinjaman Karyawan dan Cicilan Bulanan - Kunci</dc:title>
</cp:coreProperties>
</file>

<file path=docProps/custom.xml><?xml version="1.0" encoding="utf-8"?>
<Properties xmlns="http://schemas.openxmlformats.org/officeDocument/2006/custom-properties" xmlns:vt="http://schemas.openxmlformats.org/officeDocument/2006/docPropsVTypes"/>
</file>