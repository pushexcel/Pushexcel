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<sst xmlns="http://schemas.openxmlformats.org/spreadsheetml/2006/main" count="218" uniqueCount="144">
  <si>
    <t xml:space="preserve">Kunci Jawaban: Peminjaman Buku dan Denda Perpustakaan</t>
  </si>
  <si>
    <t xml:space="preserve">Latihan 18 dari 24  |  Tingkat: Menengah  |  Perkiraan waktu: 50 menit  |  pushexcel.github.io/Pushexcel</t>
  </si>
  <si>
    <t xml:space="preserve">Skenario</t>
  </si>
  <si>
    <t xml:space="preserve">Kamu petugas perpustakaan SMA Negeri 2. Tiap buku boleh dipinjam 7 hari. Denda dihitung per hari keterlambatan, tarifnya berbeda tiap kategori buku (sheet Acuan). Beberapa buku belum dikembalikan: untuk buku itu, keterlambatan dihitung sampai tanggal acuan 15 Oktober 2026.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</si>
  <si>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</si>
  <si>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</si>
  <si>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</si>
  <si>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</si>
  <si>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</si>
  <si>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</si>
  <si>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</si>
  <si>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</si>
  <si>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</si>
  <si>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</si>
  <si>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</si>
  <si>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</si>
  <si>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</si>
  <si>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</si>
  <si>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</si>
  <si>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</si>
  <si>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</si>
  <si>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</si>
  <si>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</si>
  <si>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</si>
  <si>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batas kembali: tanggal pinjam ditambah lama pinjam.</t>
  </si>
  <si>
    <t xml:space="preserve">Sheet Data, kolom G (Batas Kembali), baris 2 sampai 31</t>
  </si>
  <si>
    <t xml:space="preserve">=E2+$O$2</t>
  </si>
  <si>
    <t xml:space="preserve">2</t>
  </si>
  <si>
    <t xml:space="preserve">Tentukan tanggal yang dipakai untuk menghitung keterlambatan: tanggal kembali bila sudah kembali, atau tanggal acuan bila belum.</t>
  </si>
  <si>
    <t xml:space="preserve">Sheet Data, kolom H (Tanggal Hitung), baris 2 sampai 31</t>
  </si>
  <si>
    <t xml:space="preserve">=IF(F2="";$O$3;F2)</t>
  </si>
  <si>
    <t xml:space="preserve">3</t>
  </si>
  <si>
    <t xml:space="preserve">Hitung hari terlambat: tanggal hitung dikurangi batas kembali. Bila hasilnya negatif (tidak terlambat) tulis 0.</t>
  </si>
  <si>
    <t xml:space="preserve">Sheet Data, kolom I (Hari Terlambat), baris 2 sampai 31</t>
  </si>
  <si>
    <t xml:space="preserve">=MAX(0;H2-G2)</t>
  </si>
  <si>
    <t xml:space="preserve">4</t>
  </si>
  <si>
    <t xml:space="preserve">Ambil denda per hari tiap buku dari tabel kategori di sheet Acuan.</t>
  </si>
  <si>
    <t xml:space="preserve">Sheet Data, kolom J (Denda per Hari), baris 2 sampai 31</t>
  </si>
  <si>
    <t xml:space="preserve">=VLOOKUP(D2;Acuan!$A$2:$B$5;2;FALSE)</t>
  </si>
  <si>
    <t xml:space="preserve">5</t>
  </si>
  <si>
    <t xml:space="preserve">Hitung total denda: hari terlambat dikali denda per hari.</t>
  </si>
  <si>
    <t xml:space="preserve">Sheet Data, kolom K (Total Denda), baris 2 sampai 31</t>
  </si>
  <si>
    <t xml:space="preserve">=I2*J2</t>
  </si>
  <si>
    <t xml:space="preserve">6</t>
  </si>
  <si>
    <t xml:space="preserve">Beri status Belum Kembali bila tanggal kembali kosong. Bila sudah kembali: Terlambat jika hari terlambat lebih dari 0, selain itu Tepat Waktu.</t>
  </si>
  <si>
    <t xml:space="preserve">Sheet Data, kolom L (Status), baris 2 sampai 31</t>
  </si>
  <si>
    <t xml:space="preserve">=IF(F2="";"Belum Kembali";IF(I2&gt;0;"Terlambat";"Tepat Waktu"))</t>
  </si>
  <si>
    <t xml:space="preserve">7</t>
  </si>
  <si>
    <t xml:space="preserve">Berapa total denda seluruh peminjaman?</t>
  </si>
  <si>
    <t xml:space="preserve">Sheet Ringkasan, sel C4</t>
  </si>
  <si>
    <t xml:space="preserve">=SUM(Data!$K$2:$K$31)</t>
  </si>
  <si>
    <t xml:space="preserve">8</t>
  </si>
  <si>
    <t xml:space="preserve">Berapa peminjaman untuk tiap status: Tepat Waktu, Terlambat, dan Belum Kembali? Jumlah ketiganya harus 30.</t>
  </si>
  <si>
    <t xml:space="preserve">Sheet Ringkasan, sel C5 sampai C7</t>
  </si>
  <si>
    <t xml:space="preserve">=COUNTIF(Data!$L$2:$L$31;"Tepat Waktu")
=COUNTIF(Data!$L$2:$L$31;"Terlambat")
=COUNTIF(Data!$L$2:$L$31;"Belum Kembali")</t>
  </si>
  <si>
    <t xml:space="preserve">9</t>
  </si>
  <si>
    <t xml:space="preserve">Berapa buku yang belum kembali dan sudah lewat batas waktunya?</t>
  </si>
  <si>
    <t xml:space="preserve">Sheet Ringkasan, sel C8</t>
  </si>
  <si>
    <t xml:space="preserve">=COUNTIFS(Data!$L$2:$L$31;"Belum Kembali";Data!$I$2:$I$31;"&gt;0")</t>
  </si>
  <si>
    <t xml:space="preserve">10</t>
  </si>
  <si>
    <t xml:space="preserve">Siapa peminjam dengan keterlambatan terlama?</t>
  </si>
  <si>
    <t xml:space="preserve">Sheet Ringkasan, sel C9</t>
  </si>
  <si>
    <t xml:space="preserve">=INDEX(Data!$B$2:$B$31;MATCH(MAX(Data!$I$2:$I$31);Data!$I$2:$I$31;0))</t>
  </si>
  <si>
    <t xml:space="preserve">11</t>
  </si>
  <si>
    <t xml:space="preserve">Pada sheet Acuan, hitung jumlah peminjaman tiap kategori.</t>
  </si>
  <si>
    <t xml:space="preserve">Sheet Acuan, kolom C (Jumlah Peminjaman), baris 2 sampai 5</t>
  </si>
  <si>
    <t xml:space="preserve">=COUNTIF(Data!$D$2:$D$31;A2)</t>
  </si>
  <si>
    <t xml:space="preserve">12</t>
  </si>
  <si>
    <t xml:space="preserve">Pada sheet Acuan, hitung total denda tiap kategori.</t>
  </si>
  <si>
    <t xml:space="preserve">Sheet Acuan, kolom D (Total Denda), baris 2 sampai 5</t>
  </si>
  <si>
    <t xml:space="preserve">=SUMIF(Data!$D$2:$D$31;A2;Data!$K$2:$K$31)</t>
  </si>
  <si>
    <t xml:space="preserve">13</t>
  </si>
  <si>
    <t xml:space="preserve">Kategori buku mana yang menghasilkan denda terbesar?</t>
  </si>
  <si>
    <t xml:space="preserve">Sheet Ringkasan, sel C10</t>
  </si>
  <si>
    <t xml:space="preserve">=INDEX(Acuan!$A$2:$A$5;MATCH(MAX(Acuan!$D$2:$D$5);Acuan!$D$2:$D$5;0))</t>
  </si>
  <si>
    <t xml:space="preserve">Peminjam</t>
  </si>
  <si>
    <t xml:space="preserve">Judul Buku</t>
  </si>
  <si>
    <t xml:space="preserve">Kategori</t>
  </si>
  <si>
    <t xml:space="preserve">Tanggal Pinjam</t>
  </si>
  <si>
    <t xml:space="preserve">Tanggal Kembali</t>
  </si>
  <si>
    <t xml:space="preserve">Batas Kembali</t>
  </si>
  <si>
    <t xml:space="preserve">Tanggal Hitung</t>
  </si>
  <si>
    <t xml:space="preserve">Hari Terlambat</t>
  </si>
  <si>
    <t xml:space="preserve">Denda per Hari</t>
  </si>
  <si>
    <t xml:space="preserve">Total Denda</t>
  </si>
  <si>
    <t xml:space="preserve">Status</t>
  </si>
  <si>
    <t xml:space="preserve">Parameter</t>
  </si>
  <si>
    <t xml:space="preserve">Nilai</t>
  </si>
  <si>
    <t xml:space="preserve">Keterangan</t>
  </si>
  <si>
    <t xml:space="preserve">Nurul Nugroho</t>
  </si>
  <si>
    <t xml:space="preserve">Kamus Besar Ringkas</t>
  </si>
  <si>
    <t xml:space="preserve">Referensi</t>
  </si>
  <si>
    <t xml:space="preserve">Lama pinjam (hari)</t>
  </si>
  <si>
    <t xml:space="preserve">Dimas Handayani</t>
  </si>
  <si>
    <t xml:space="preserve">Surat untuk Pak Guru</t>
  </si>
  <si>
    <t xml:space="preserve">Novel</t>
  </si>
  <si>
    <t xml:space="preserve">Tanggal acuan</t>
  </si>
  <si>
    <t xml:space="preserve">Dipakai bila buku belum kembali</t>
  </si>
  <si>
    <t xml:space="preserve">Senja di Tepi Sungai</t>
  </si>
  <si>
    <t xml:space="preserve">Sinta Anggraini</t>
  </si>
  <si>
    <t xml:space="preserve">Belajar Berhitung</t>
  </si>
  <si>
    <t xml:space="preserve">Anak</t>
  </si>
  <si>
    <t xml:space="preserve">Ayu Saputra</t>
  </si>
  <si>
    <t xml:space="preserve">Fisika Dasar</t>
  </si>
  <si>
    <t xml:space="preserve">Pelajaran</t>
  </si>
  <si>
    <t xml:space="preserve">Citra Kurniawan</t>
  </si>
  <si>
    <t xml:space="preserve">Atlas Dunia Terbaru</t>
  </si>
  <si>
    <t xml:space="preserve">Bagas Handayani</t>
  </si>
  <si>
    <t xml:space="preserve">Kancil dan Buaya</t>
  </si>
  <si>
    <t xml:space="preserve">Ensiklopedia Sains</t>
  </si>
  <si>
    <t xml:space="preserve">Ratna Handayani</t>
  </si>
  <si>
    <t xml:space="preserve">Matematika Kelas 9</t>
  </si>
  <si>
    <t xml:space="preserve">Ratna Pratama</t>
  </si>
  <si>
    <t xml:space="preserve">Biologi Terapan</t>
  </si>
  <si>
    <t xml:space="preserve">Rumah di Atas Bukit</t>
  </si>
  <si>
    <t xml:space="preserve">Vivi Pratama</t>
  </si>
  <si>
    <t xml:space="preserve">Maya Permana</t>
  </si>
  <si>
    <t xml:space="preserve">Gunawan Santoso</t>
  </si>
  <si>
    <t xml:space="preserve">Bahasa Indonesia SMA</t>
  </si>
  <si>
    <t xml:space="preserve">Petualangan Si Kelinci</t>
  </si>
  <si>
    <t xml:space="preserve">Rahmat Permana</t>
  </si>
  <si>
    <t xml:space="preserve">Perahu Kertas Kecil</t>
  </si>
  <si>
    <t xml:space="preserve">Tika Permana</t>
  </si>
  <si>
    <t xml:space="preserve">Jumlah Peminjaman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</si>
  <si>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</si>
  <si>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</si>
  <si>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</si>
  <si>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</si>
  <si>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</si>
  <si>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denda seluruh peminjaman</t>
  </si>
  <si>
    <t xml:space="preserve">Rupiah, mis. Rp 48.000</t>
  </si>
  <si>
    <t xml:space="preserve">8a</t>
  </si>
  <si>
    <t xml:space="preserve">Jumlah peminjaman Tepat Waktu</t>
  </si>
  <si>
    <t xml:space="preserve">Angka bulat, mis. 9</t>
  </si>
  <si>
    <t xml:space="preserve">8b</t>
  </si>
  <si>
    <t xml:space="preserve">Jumlah peminjaman Terlambat</t>
  </si>
  <si>
    <t xml:space="preserve">8c</t>
  </si>
  <si>
    <t xml:space="preserve">Jumlah peminjaman Belum Kembali</t>
  </si>
  <si>
    <t xml:space="preserve">Jumlah buku belum kembali dan sudah lewat batas</t>
  </si>
  <si>
    <t xml:space="preserve">Angka bulat, mis. 3</t>
  </si>
  <si>
    <t xml:space="preserve">Peminjam dengan keterlambatan terlama</t>
  </si>
  <si>
    <t xml:space="preserve">Teks: nama peminjam</t>
  </si>
  <si>
    <t xml:space="preserve">Kategori dengan total denda terbesar</t>
  </si>
  <si>
    <t xml:space="preserve">Teks: nama kategori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</si>
</sst>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yy"/>
    <numFmt numFmtId="167" formatCode="&quot;Rp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42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42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55.5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2" t="s">
        <v>19</v>
      </c>
      <c r="B1" s="12" t="s">
        <v>75</v>
      </c>
      <c r="C1" s="12" t="s">
        <v>76</v>
      </c>
      <c r="D1" s="12" t="s">
        <v>77</v>
      </c>
      <c r="E1" s="12" t="s">
        <v>78</v>
      </c>
      <c r="F1" s="12" t="s">
        <v>79</v>
      </c>
      <c r="G1" s="16" t="s">
        <v>80</v>
      </c>
      <c r="H1" s="16" t="s">
        <v>81</v>
      </c>
      <c r="I1" s="16" t="s">
        <v>82</v>
      </c>
      <c r="J1" s="16" t="s">
        <v>83</v>
      </c>
      <c r="K1" s="16" t="s">
        <v>84</v>
      </c>
      <c r="L1" s="16" t="s">
        <v>85</v>
      </c>
      <c r="N1" s="17" t="s">
        <v>86</v>
      </c>
      <c r="O1" s="17" t="s">
        <v>87</v>
      </c>
      <c r="P1" s="17" t="s">
        <v>88</v>
      </c>
    </row>
    <row r="2" customFormat="false" ht="15" hidden="false" customHeight="false" outlineLevel="0" collapsed="false">
      <c r="A2" s="18" t="n">
        <v>1</v>
      </c>
      <c r="B2" s="19" t="s">
        <v>89</v>
      </c>
      <c r="C2" s="19" t="s">
        <v>90</v>
      </c>
      <c r="D2" s="19" t="s">
        <v>91</v>
      </c>
      <c r="E2" s="20" t="n">
        <v>46266</v>
      </c>
      <c r="F2" s="20" t="n">
        <v>46268</v>
      </c>
      <c r="G2" s="21" t="n">
        <f aca="false">E2+$O$2</f>
        <v>46273</v>
      </c>
      <c r="H2" s="21" t="n">
        <f aca="false">IF(F2="",$O$3,F2)</f>
        <v>46268</v>
      </c>
      <c r="I2" s="22" t="n">
        <f aca="false">MAX(0,H2-G2)</f>
        <v>0</v>
      </c>
      <c r="J2" s="23" t="n">
        <f aca="false">VLOOKUP(D2,Acuan!$A$2:$B$5,2,FALSE())</f>
        <v>2000</v>
      </c>
      <c r="K2" s="23" t="n">
        <f aca="false">I2*J2</f>
        <v>0</v>
      </c>
      <c r="L2" s="24" t="str">
        <f aca="false">IF(F2="","Belum Kembali",IF(I2&gt;0,"Terlambat","Tepat Waktu"))</f>
        <v>Tepat Waktu</v>
      </c>
      <c r="N2" s="25" t="s">
        <v>92</v>
      </c>
      <c r="O2" s="26" t="n">
        <v>7</v>
      </c>
      <c r="P2" s="27"/>
    </row>
    <row r="3" customFormat="false" ht="15" hidden="false" customHeight="false" outlineLevel="0" collapsed="false">
      <c r="A3" s="18" t="n">
        <v>2</v>
      </c>
      <c r="B3" s="19" t="s">
        <v>93</v>
      </c>
      <c r="C3" s="19" t="s">
        <v>94</v>
      </c>
      <c r="D3" s="19" t="s">
        <v>95</v>
      </c>
      <c r="E3" s="20" t="n">
        <v>46268</v>
      </c>
      <c r="F3" s="20" t="n">
        <v>46273</v>
      </c>
      <c r="G3" s="21" t="n">
        <f aca="false">E3+$O$2</f>
        <v>46275</v>
      </c>
      <c r="H3" s="21" t="n">
        <f aca="false">IF(F3="",$O$3,F3)</f>
        <v>46273</v>
      </c>
      <c r="I3" s="22" t="n">
        <f aca="false">MAX(0,H3-G3)</f>
        <v>0</v>
      </c>
      <c r="J3" s="23" t="n">
        <f aca="false">VLOOKUP(D3,Acuan!$A$2:$B$5,2,FALSE())</f>
        <v>500</v>
      </c>
      <c r="K3" s="23" t="n">
        <f aca="false">I3*J3</f>
        <v>0</v>
      </c>
      <c r="L3" s="24" t="str">
        <f aca="false">IF(F3="","Belum Kembali",IF(I3&gt;0,"Terlambat","Tepat Waktu"))</f>
        <v>Tepat Waktu</v>
      </c>
      <c r="N3" s="25" t="s">
        <v>96</v>
      </c>
      <c r="O3" s="28" t="n">
        <v>46310</v>
      </c>
      <c r="P3" s="27" t="s">
        <v>97</v>
      </c>
    </row>
    <row r="4" customFormat="false" ht="15" hidden="false" customHeight="false" outlineLevel="0" collapsed="false">
      <c r="A4" s="18" t="n">
        <v>3</v>
      </c>
      <c r="B4" s="19" t="s">
        <v>93</v>
      </c>
      <c r="C4" s="19" t="s">
        <v>98</v>
      </c>
      <c r="D4" s="19" t="s">
        <v>95</v>
      </c>
      <c r="E4" s="20" t="n">
        <v>46270</v>
      </c>
      <c r="F4" s="20" t="n">
        <v>46286</v>
      </c>
      <c r="G4" s="21" t="n">
        <f aca="false">E4+$O$2</f>
        <v>46277</v>
      </c>
      <c r="H4" s="21" t="n">
        <f aca="false">IF(F4="",$O$3,F4)</f>
        <v>46286</v>
      </c>
      <c r="I4" s="22" t="n">
        <f aca="false">MAX(0,H4-G4)</f>
        <v>9</v>
      </c>
      <c r="J4" s="23" t="n">
        <f aca="false">VLOOKUP(D4,Acuan!$A$2:$B$5,2,FALSE())</f>
        <v>500</v>
      </c>
      <c r="K4" s="23" t="n">
        <f aca="false">I4*J4</f>
        <v>4500</v>
      </c>
      <c r="L4" s="24" t="str">
        <f aca="false">IF(F4="","Belum Kembali",IF(I4&gt;0,"Terlambat","Tepat Waktu"))</f>
        <v>Terlambat</v>
      </c>
    </row>
    <row r="5" customFormat="false" ht="15" hidden="false" customHeight="false" outlineLevel="0" collapsed="false">
      <c r="A5" s="18" t="n">
        <v>4</v>
      </c>
      <c r="B5" s="19" t="s">
        <v>99</v>
      </c>
      <c r="C5" s="19" t="s">
        <v>100</v>
      </c>
      <c r="D5" s="19" t="s">
        <v>101</v>
      </c>
      <c r="E5" s="20" t="n">
        <v>46271</v>
      </c>
      <c r="F5" s="20" t="n">
        <v>46279</v>
      </c>
      <c r="G5" s="21" t="n">
        <f aca="false">E5+$O$2</f>
        <v>46278</v>
      </c>
      <c r="H5" s="21" t="n">
        <f aca="false">IF(F5="",$O$3,F5)</f>
        <v>46279</v>
      </c>
      <c r="I5" s="22" t="n">
        <f aca="false">MAX(0,H5-G5)</f>
        <v>1</v>
      </c>
      <c r="J5" s="23" t="n">
        <f aca="false">VLOOKUP(D5,Acuan!$A$2:$B$5,2,FALSE())</f>
        <v>500</v>
      </c>
      <c r="K5" s="23" t="n">
        <f aca="false">I5*J5</f>
        <v>500</v>
      </c>
      <c r="L5" s="24" t="str">
        <f aca="false">IF(F5="","Belum Kembali",IF(I5&gt;0,"Terlambat","Tepat Waktu"))</f>
        <v>Terlambat</v>
      </c>
    </row>
    <row r="6" customFormat="false" ht="15" hidden="false" customHeight="false" outlineLevel="0" collapsed="false">
      <c r="A6" s="18" t="n">
        <v>5</v>
      </c>
      <c r="B6" s="19" t="s">
        <v>102</v>
      </c>
      <c r="C6" s="19" t="s">
        <v>103</v>
      </c>
      <c r="D6" s="19" t="s">
        <v>104</v>
      </c>
      <c r="E6" s="20" t="n">
        <v>46273</v>
      </c>
      <c r="F6" s="20" t="n">
        <v>46282</v>
      </c>
      <c r="G6" s="21" t="n">
        <f aca="false">E6+$O$2</f>
        <v>46280</v>
      </c>
      <c r="H6" s="21" t="n">
        <f aca="false">IF(F6="",$O$3,F6)</f>
        <v>46282</v>
      </c>
      <c r="I6" s="22" t="n">
        <f aca="false">MAX(0,H6-G6)</f>
        <v>2</v>
      </c>
      <c r="J6" s="23" t="n">
        <f aca="false">VLOOKUP(D6,Acuan!$A$2:$B$5,2,FALSE())</f>
        <v>1000</v>
      </c>
      <c r="K6" s="23" t="n">
        <f aca="false">I6*J6</f>
        <v>2000</v>
      </c>
      <c r="L6" s="24" t="str">
        <f aca="false">IF(F6="","Belum Kembali",IF(I6&gt;0,"Terlambat","Tepat Waktu"))</f>
        <v>Terlambat</v>
      </c>
    </row>
    <row r="7" customFormat="false" ht="15" hidden="false" customHeight="false" outlineLevel="0" collapsed="false">
      <c r="A7" s="18" t="n">
        <v>6</v>
      </c>
      <c r="B7" s="19" t="s">
        <v>105</v>
      </c>
      <c r="C7" s="19" t="s">
        <v>106</v>
      </c>
      <c r="D7" s="19" t="s">
        <v>91</v>
      </c>
      <c r="E7" s="20" t="n">
        <v>46278</v>
      </c>
      <c r="F7" s="20" t="n">
        <v>46294</v>
      </c>
      <c r="G7" s="21" t="n">
        <f aca="false">E7+$O$2</f>
        <v>46285</v>
      </c>
      <c r="H7" s="21" t="n">
        <f aca="false">IF(F7="",$O$3,F7)</f>
        <v>46294</v>
      </c>
      <c r="I7" s="22" t="n">
        <f aca="false">MAX(0,H7-G7)</f>
        <v>9</v>
      </c>
      <c r="J7" s="23" t="n">
        <f aca="false">VLOOKUP(D7,Acuan!$A$2:$B$5,2,FALSE())</f>
        <v>2000</v>
      </c>
      <c r="K7" s="23" t="n">
        <f aca="false">I7*J7</f>
        <v>18000</v>
      </c>
      <c r="L7" s="24" t="str">
        <f aca="false">IF(F7="","Belum Kembali",IF(I7&gt;0,"Terlambat","Tepat Waktu"))</f>
        <v>Terlambat</v>
      </c>
    </row>
    <row r="8" customFormat="false" ht="15" hidden="false" customHeight="false" outlineLevel="0" collapsed="false">
      <c r="A8" s="18" t="n">
        <v>7</v>
      </c>
      <c r="B8" s="19" t="s">
        <v>107</v>
      </c>
      <c r="C8" s="19" t="s">
        <v>108</v>
      </c>
      <c r="D8" s="19" t="s">
        <v>101</v>
      </c>
      <c r="E8" s="20" t="n">
        <v>46278</v>
      </c>
      <c r="F8" s="20" t="n">
        <v>46288</v>
      </c>
      <c r="G8" s="21" t="n">
        <f aca="false">E8+$O$2</f>
        <v>46285</v>
      </c>
      <c r="H8" s="21" t="n">
        <f aca="false">IF(F8="",$O$3,F8)</f>
        <v>46288</v>
      </c>
      <c r="I8" s="22" t="n">
        <f aca="false">MAX(0,H8-G8)</f>
        <v>3</v>
      </c>
      <c r="J8" s="23" t="n">
        <f aca="false">VLOOKUP(D8,Acuan!$A$2:$B$5,2,FALSE())</f>
        <v>500</v>
      </c>
      <c r="K8" s="23" t="n">
        <f aca="false">I8*J8</f>
        <v>1500</v>
      </c>
      <c r="L8" s="24" t="str">
        <f aca="false">IF(F8="","Belum Kembali",IF(I8&gt;0,"Terlambat","Tepat Waktu"))</f>
        <v>Terlambat</v>
      </c>
    </row>
    <row r="9" customFormat="false" ht="15" hidden="false" customHeight="false" outlineLevel="0" collapsed="false">
      <c r="A9" s="18" t="n">
        <v>8</v>
      </c>
      <c r="B9" s="19" t="s">
        <v>102</v>
      </c>
      <c r="C9" s="19" t="s">
        <v>109</v>
      </c>
      <c r="D9" s="19" t="s">
        <v>91</v>
      </c>
      <c r="E9" s="20" t="n">
        <v>46279</v>
      </c>
      <c r="F9" s="20" t="n">
        <v>46291</v>
      </c>
      <c r="G9" s="21" t="n">
        <f aca="false">E9+$O$2</f>
        <v>46286</v>
      </c>
      <c r="H9" s="21" t="n">
        <f aca="false">IF(F9="",$O$3,F9)</f>
        <v>46291</v>
      </c>
      <c r="I9" s="22" t="n">
        <f aca="false">MAX(0,H9-G9)</f>
        <v>5</v>
      </c>
      <c r="J9" s="23" t="n">
        <f aca="false">VLOOKUP(D9,Acuan!$A$2:$B$5,2,FALSE())</f>
        <v>2000</v>
      </c>
      <c r="K9" s="23" t="n">
        <f aca="false">I9*J9</f>
        <v>10000</v>
      </c>
      <c r="L9" s="24" t="str">
        <f aca="false">IF(F9="","Belum Kembali",IF(I9&gt;0,"Terlambat","Tepat Waktu"))</f>
        <v>Terlambat</v>
      </c>
    </row>
    <row r="10" customFormat="false" ht="15" hidden="false" customHeight="false" outlineLevel="0" collapsed="false">
      <c r="A10" s="18" t="n">
        <v>9</v>
      </c>
      <c r="B10" s="19" t="s">
        <v>110</v>
      </c>
      <c r="C10" s="19" t="s">
        <v>94</v>
      </c>
      <c r="D10" s="19" t="s">
        <v>95</v>
      </c>
      <c r="E10" s="20" t="n">
        <v>46279</v>
      </c>
      <c r="F10" s="20" t="n">
        <v>46281</v>
      </c>
      <c r="G10" s="21" t="n">
        <f aca="false">E10+$O$2</f>
        <v>46286</v>
      </c>
      <c r="H10" s="21" t="n">
        <f aca="false">IF(F10="",$O$3,F10)</f>
        <v>46281</v>
      </c>
      <c r="I10" s="22" t="n">
        <f aca="false">MAX(0,H10-G10)</f>
        <v>0</v>
      </c>
      <c r="J10" s="23" t="n">
        <f aca="false">VLOOKUP(D10,Acuan!$A$2:$B$5,2,FALSE())</f>
        <v>500</v>
      </c>
      <c r="K10" s="23" t="n">
        <f aca="false">I10*J10</f>
        <v>0</v>
      </c>
      <c r="L10" s="24" t="str">
        <f aca="false">IF(F10="","Belum Kembali",IF(I10&gt;0,"Terlambat","Tepat Waktu"))</f>
        <v>Tepat Waktu</v>
      </c>
    </row>
    <row r="11" customFormat="false" ht="15" hidden="false" customHeight="false" outlineLevel="0" collapsed="false">
      <c r="A11" s="18" t="n">
        <v>10</v>
      </c>
      <c r="B11" s="19" t="s">
        <v>93</v>
      </c>
      <c r="C11" s="19" t="s">
        <v>111</v>
      </c>
      <c r="D11" s="19" t="s">
        <v>104</v>
      </c>
      <c r="E11" s="20" t="n">
        <v>46282</v>
      </c>
      <c r="F11" s="20" t="n">
        <v>46298</v>
      </c>
      <c r="G11" s="21" t="n">
        <f aca="false">E11+$O$2</f>
        <v>46289</v>
      </c>
      <c r="H11" s="21" t="n">
        <f aca="false">IF(F11="",$O$3,F11)</f>
        <v>46298</v>
      </c>
      <c r="I11" s="22" t="n">
        <f aca="false">MAX(0,H11-G11)</f>
        <v>9</v>
      </c>
      <c r="J11" s="23" t="n">
        <f aca="false">VLOOKUP(D11,Acuan!$A$2:$B$5,2,FALSE())</f>
        <v>1000</v>
      </c>
      <c r="K11" s="23" t="n">
        <f aca="false">I11*J11</f>
        <v>9000</v>
      </c>
      <c r="L11" s="24" t="str">
        <f aca="false">IF(F11="","Belum Kembali",IF(I11&gt;0,"Terlambat","Tepat Waktu"))</f>
        <v>Terlambat</v>
      </c>
    </row>
    <row r="12" customFormat="false" ht="15" hidden="false" customHeight="false" outlineLevel="0" collapsed="false">
      <c r="A12" s="18" t="n">
        <v>11</v>
      </c>
      <c r="B12" s="19" t="s">
        <v>112</v>
      </c>
      <c r="C12" s="19" t="s">
        <v>113</v>
      </c>
      <c r="D12" s="19" t="s">
        <v>104</v>
      </c>
      <c r="E12" s="20" t="n">
        <v>46284</v>
      </c>
      <c r="F12" s="20" t="n">
        <v>46290</v>
      </c>
      <c r="G12" s="21" t="n">
        <f aca="false">E12+$O$2</f>
        <v>46291</v>
      </c>
      <c r="H12" s="21" t="n">
        <f aca="false">IF(F12="",$O$3,F12)</f>
        <v>46290</v>
      </c>
      <c r="I12" s="22" t="n">
        <f aca="false">MAX(0,H12-G12)</f>
        <v>0</v>
      </c>
      <c r="J12" s="23" t="n">
        <f aca="false">VLOOKUP(D12,Acuan!$A$2:$B$5,2,FALSE())</f>
        <v>1000</v>
      </c>
      <c r="K12" s="23" t="n">
        <f aca="false">I12*J12</f>
        <v>0</v>
      </c>
      <c r="L12" s="24" t="str">
        <f aca="false">IF(F12="","Belum Kembali",IF(I12&gt;0,"Terlambat","Tepat Waktu"))</f>
        <v>Tepat Waktu</v>
      </c>
    </row>
    <row r="13" customFormat="false" ht="15" hidden="false" customHeight="false" outlineLevel="0" collapsed="false">
      <c r="A13" s="18" t="n">
        <v>12</v>
      </c>
      <c r="B13" s="19" t="s">
        <v>93</v>
      </c>
      <c r="C13" s="19" t="s">
        <v>114</v>
      </c>
      <c r="D13" s="19" t="s">
        <v>95</v>
      </c>
      <c r="E13" s="20" t="n">
        <v>46285</v>
      </c>
      <c r="F13" s="20" t="n">
        <v>46288</v>
      </c>
      <c r="G13" s="21" t="n">
        <f aca="false">E13+$O$2</f>
        <v>46292</v>
      </c>
      <c r="H13" s="21" t="n">
        <f aca="false">IF(F13="",$O$3,F13)</f>
        <v>46288</v>
      </c>
      <c r="I13" s="22" t="n">
        <f aca="false">MAX(0,H13-G13)</f>
        <v>0</v>
      </c>
      <c r="J13" s="23" t="n">
        <f aca="false">VLOOKUP(D13,Acuan!$A$2:$B$5,2,FALSE())</f>
        <v>500</v>
      </c>
      <c r="K13" s="23" t="n">
        <f aca="false">I13*J13</f>
        <v>0</v>
      </c>
      <c r="L13" s="24" t="str">
        <f aca="false">IF(F13="","Belum Kembali",IF(I13&gt;0,"Terlambat","Tepat Waktu"))</f>
        <v>Tepat Waktu</v>
      </c>
    </row>
    <row r="14" customFormat="false" ht="15" hidden="false" customHeight="false" outlineLevel="0" collapsed="false">
      <c r="A14" s="18" t="n">
        <v>13</v>
      </c>
      <c r="B14" s="19" t="s">
        <v>102</v>
      </c>
      <c r="C14" s="19" t="s">
        <v>109</v>
      </c>
      <c r="D14" s="19" t="s">
        <v>91</v>
      </c>
      <c r="E14" s="20" t="n">
        <v>46285</v>
      </c>
      <c r="F14" s="20" t="n">
        <v>46288</v>
      </c>
      <c r="G14" s="21" t="n">
        <f aca="false">E14+$O$2</f>
        <v>46292</v>
      </c>
      <c r="H14" s="21" t="n">
        <f aca="false">IF(F14="",$O$3,F14)</f>
        <v>46288</v>
      </c>
      <c r="I14" s="22" t="n">
        <f aca="false">MAX(0,H14-G14)</f>
        <v>0</v>
      </c>
      <c r="J14" s="23" t="n">
        <f aca="false">VLOOKUP(D14,Acuan!$A$2:$B$5,2,FALSE())</f>
        <v>2000</v>
      </c>
      <c r="K14" s="23" t="n">
        <f aca="false">I14*J14</f>
        <v>0</v>
      </c>
      <c r="L14" s="24" t="str">
        <f aca="false">IF(F14="","Belum Kembali",IF(I14&gt;0,"Terlambat","Tepat Waktu"))</f>
        <v>Tepat Waktu</v>
      </c>
    </row>
    <row r="15" customFormat="false" ht="15" hidden="false" customHeight="false" outlineLevel="0" collapsed="false">
      <c r="A15" s="18" t="n">
        <v>14</v>
      </c>
      <c r="B15" s="19" t="s">
        <v>110</v>
      </c>
      <c r="C15" s="19" t="s">
        <v>109</v>
      </c>
      <c r="D15" s="19" t="s">
        <v>91</v>
      </c>
      <c r="E15" s="20" t="n">
        <v>46286</v>
      </c>
      <c r="F15" s="20"/>
      <c r="G15" s="21" t="n">
        <f aca="false">E15+$O$2</f>
        <v>46293</v>
      </c>
      <c r="H15" s="21" t="n">
        <f aca="false">IF(F15="",$O$3,F15)</f>
        <v>46310</v>
      </c>
      <c r="I15" s="22" t="n">
        <f aca="false">MAX(0,H15-G15)</f>
        <v>17</v>
      </c>
      <c r="J15" s="23" t="n">
        <f aca="false">VLOOKUP(D15,Acuan!$A$2:$B$5,2,FALSE())</f>
        <v>2000</v>
      </c>
      <c r="K15" s="23" t="n">
        <f aca="false">I15*J15</f>
        <v>34000</v>
      </c>
      <c r="L15" s="24" t="str">
        <f aca="false">IF(F15="","Belum Kembali",IF(I15&gt;0,"Terlambat","Tepat Waktu"))</f>
        <v>Belum Kembali</v>
      </c>
    </row>
    <row r="16" customFormat="false" ht="15" hidden="false" customHeight="false" outlineLevel="0" collapsed="false">
      <c r="A16" s="18" t="n">
        <v>15</v>
      </c>
      <c r="B16" s="19" t="s">
        <v>115</v>
      </c>
      <c r="C16" s="19" t="s">
        <v>114</v>
      </c>
      <c r="D16" s="19" t="s">
        <v>95</v>
      </c>
      <c r="E16" s="20" t="n">
        <v>46286</v>
      </c>
      <c r="F16" s="20" t="n">
        <v>46297</v>
      </c>
      <c r="G16" s="21" t="n">
        <f aca="false">E16+$O$2</f>
        <v>46293</v>
      </c>
      <c r="H16" s="21" t="n">
        <f aca="false">IF(F16="",$O$3,F16)</f>
        <v>46297</v>
      </c>
      <c r="I16" s="22" t="n">
        <f aca="false">MAX(0,H16-G16)</f>
        <v>4</v>
      </c>
      <c r="J16" s="23" t="n">
        <f aca="false">VLOOKUP(D16,Acuan!$A$2:$B$5,2,FALSE())</f>
        <v>500</v>
      </c>
      <c r="K16" s="23" t="n">
        <f aca="false">I16*J16</f>
        <v>2000</v>
      </c>
      <c r="L16" s="24" t="str">
        <f aca="false">IF(F16="","Belum Kembali",IF(I16&gt;0,"Terlambat","Tepat Waktu"))</f>
        <v>Terlambat</v>
      </c>
    </row>
    <row r="17" customFormat="false" ht="15" hidden="false" customHeight="false" outlineLevel="0" collapsed="false">
      <c r="A17" s="18" t="n">
        <v>16</v>
      </c>
      <c r="B17" s="19" t="s">
        <v>115</v>
      </c>
      <c r="C17" s="19" t="s">
        <v>106</v>
      </c>
      <c r="D17" s="19" t="s">
        <v>91</v>
      </c>
      <c r="E17" s="20" t="n">
        <v>46289</v>
      </c>
      <c r="F17" s="20" t="n">
        <v>46296</v>
      </c>
      <c r="G17" s="21" t="n">
        <f aca="false">E17+$O$2</f>
        <v>46296</v>
      </c>
      <c r="H17" s="21" t="n">
        <f aca="false">IF(F17="",$O$3,F17)</f>
        <v>46296</v>
      </c>
      <c r="I17" s="22" t="n">
        <f aca="false">MAX(0,H17-G17)</f>
        <v>0</v>
      </c>
      <c r="J17" s="23" t="n">
        <f aca="false">VLOOKUP(D17,Acuan!$A$2:$B$5,2,FALSE())</f>
        <v>2000</v>
      </c>
      <c r="K17" s="23" t="n">
        <f aca="false">I17*J17</f>
        <v>0</v>
      </c>
      <c r="L17" s="24" t="str">
        <f aca="false">IF(F17="","Belum Kembali",IF(I17&gt;0,"Terlambat","Tepat Waktu"))</f>
        <v>Tepat Waktu</v>
      </c>
    </row>
    <row r="18" customFormat="false" ht="15" hidden="false" customHeight="false" outlineLevel="0" collapsed="false">
      <c r="A18" s="18" t="n">
        <v>17</v>
      </c>
      <c r="B18" s="19" t="s">
        <v>116</v>
      </c>
      <c r="C18" s="19" t="s">
        <v>108</v>
      </c>
      <c r="D18" s="19" t="s">
        <v>101</v>
      </c>
      <c r="E18" s="20" t="n">
        <v>46289</v>
      </c>
      <c r="F18" s="20" t="n">
        <v>46298</v>
      </c>
      <c r="G18" s="21" t="n">
        <f aca="false">E18+$O$2</f>
        <v>46296</v>
      </c>
      <c r="H18" s="21" t="n">
        <f aca="false">IF(F18="",$O$3,F18)</f>
        <v>46298</v>
      </c>
      <c r="I18" s="22" t="n">
        <f aca="false">MAX(0,H18-G18)</f>
        <v>2</v>
      </c>
      <c r="J18" s="23" t="n">
        <f aca="false">VLOOKUP(D18,Acuan!$A$2:$B$5,2,FALSE())</f>
        <v>500</v>
      </c>
      <c r="K18" s="23" t="n">
        <f aca="false">I18*J18</f>
        <v>1000</v>
      </c>
      <c r="L18" s="24" t="str">
        <f aca="false">IF(F18="","Belum Kembali",IF(I18&gt;0,"Terlambat","Tepat Waktu"))</f>
        <v>Terlambat</v>
      </c>
    </row>
    <row r="19" customFormat="false" ht="15" hidden="false" customHeight="false" outlineLevel="0" collapsed="false">
      <c r="A19" s="18" t="n">
        <v>18</v>
      </c>
      <c r="B19" s="19" t="s">
        <v>107</v>
      </c>
      <c r="C19" s="19" t="s">
        <v>94</v>
      </c>
      <c r="D19" s="19" t="s">
        <v>95</v>
      </c>
      <c r="E19" s="20" t="n">
        <v>46291</v>
      </c>
      <c r="F19" s="20" t="n">
        <v>46294</v>
      </c>
      <c r="G19" s="21" t="n">
        <f aca="false">E19+$O$2</f>
        <v>46298</v>
      </c>
      <c r="H19" s="21" t="n">
        <f aca="false">IF(F19="",$O$3,F19)</f>
        <v>46294</v>
      </c>
      <c r="I19" s="22" t="n">
        <f aca="false">MAX(0,H19-G19)</f>
        <v>0</v>
      </c>
      <c r="J19" s="23" t="n">
        <f aca="false">VLOOKUP(D19,Acuan!$A$2:$B$5,2,FALSE())</f>
        <v>500</v>
      </c>
      <c r="K19" s="23" t="n">
        <f aca="false">I19*J19</f>
        <v>0</v>
      </c>
      <c r="L19" s="24" t="str">
        <f aca="false">IF(F19="","Belum Kembali",IF(I19&gt;0,"Terlambat","Tepat Waktu"))</f>
        <v>Tepat Waktu</v>
      </c>
    </row>
    <row r="20" customFormat="false" ht="15" hidden="false" customHeight="false" outlineLevel="0" collapsed="false">
      <c r="A20" s="18" t="n">
        <v>19</v>
      </c>
      <c r="B20" s="19" t="s">
        <v>99</v>
      </c>
      <c r="C20" s="19" t="s">
        <v>106</v>
      </c>
      <c r="D20" s="19" t="s">
        <v>91</v>
      </c>
      <c r="E20" s="20" t="n">
        <v>46297</v>
      </c>
      <c r="F20" s="20" t="n">
        <v>46303</v>
      </c>
      <c r="G20" s="21" t="n">
        <f aca="false">E20+$O$2</f>
        <v>46304</v>
      </c>
      <c r="H20" s="21" t="n">
        <f aca="false">IF(F20="",$O$3,F20)</f>
        <v>46303</v>
      </c>
      <c r="I20" s="22" t="n">
        <f aca="false">MAX(0,H20-G20)</f>
        <v>0</v>
      </c>
      <c r="J20" s="23" t="n">
        <f aca="false">VLOOKUP(D20,Acuan!$A$2:$B$5,2,FALSE())</f>
        <v>2000</v>
      </c>
      <c r="K20" s="23" t="n">
        <f aca="false">I20*J20</f>
        <v>0</v>
      </c>
      <c r="L20" s="24" t="str">
        <f aca="false">IF(F20="","Belum Kembali",IF(I20&gt;0,"Terlambat","Tepat Waktu"))</f>
        <v>Tepat Waktu</v>
      </c>
    </row>
    <row r="21" customFormat="false" ht="15" hidden="false" customHeight="false" outlineLevel="0" collapsed="false">
      <c r="A21" s="18" t="n">
        <v>20</v>
      </c>
      <c r="B21" s="19" t="s">
        <v>93</v>
      </c>
      <c r="C21" s="19" t="s">
        <v>113</v>
      </c>
      <c r="D21" s="19" t="s">
        <v>104</v>
      </c>
      <c r="E21" s="20" t="n">
        <v>46298</v>
      </c>
      <c r="F21" s="20" t="n">
        <v>46308</v>
      </c>
      <c r="G21" s="21" t="n">
        <f aca="false">E21+$O$2</f>
        <v>46305</v>
      </c>
      <c r="H21" s="21" t="n">
        <f aca="false">IF(F21="",$O$3,F21)</f>
        <v>46308</v>
      </c>
      <c r="I21" s="22" t="n">
        <f aca="false">MAX(0,H21-G21)</f>
        <v>3</v>
      </c>
      <c r="J21" s="23" t="n">
        <f aca="false">VLOOKUP(D21,Acuan!$A$2:$B$5,2,FALSE())</f>
        <v>1000</v>
      </c>
      <c r="K21" s="23" t="n">
        <f aca="false">I21*J21</f>
        <v>3000</v>
      </c>
      <c r="L21" s="24" t="str">
        <f aca="false">IF(F21="","Belum Kembali",IF(I21&gt;0,"Terlambat","Tepat Waktu"))</f>
        <v>Terlambat</v>
      </c>
    </row>
    <row r="22" customFormat="false" ht="15" hidden="false" customHeight="false" outlineLevel="0" collapsed="false">
      <c r="A22" s="18" t="n">
        <v>21</v>
      </c>
      <c r="B22" s="19" t="s">
        <v>110</v>
      </c>
      <c r="C22" s="19" t="s">
        <v>114</v>
      </c>
      <c r="D22" s="19" t="s">
        <v>95</v>
      </c>
      <c r="E22" s="20" t="n">
        <v>46298</v>
      </c>
      <c r="F22" s="20" t="n">
        <v>46303</v>
      </c>
      <c r="G22" s="21" t="n">
        <f aca="false">E22+$O$2</f>
        <v>46305</v>
      </c>
      <c r="H22" s="21" t="n">
        <f aca="false">IF(F22="",$O$3,F22)</f>
        <v>46303</v>
      </c>
      <c r="I22" s="22" t="n">
        <f aca="false">MAX(0,H22-G22)</f>
        <v>0</v>
      </c>
      <c r="J22" s="23" t="n">
        <f aca="false">VLOOKUP(D22,Acuan!$A$2:$B$5,2,FALSE())</f>
        <v>500</v>
      </c>
      <c r="K22" s="23" t="n">
        <f aca="false">I22*J22</f>
        <v>0</v>
      </c>
      <c r="L22" s="24" t="str">
        <f aca="false">IF(F22="","Belum Kembali",IF(I22&gt;0,"Terlambat","Tepat Waktu"))</f>
        <v>Tepat Waktu</v>
      </c>
    </row>
    <row r="23" customFormat="false" ht="15" hidden="false" customHeight="false" outlineLevel="0" collapsed="false">
      <c r="A23" s="18" t="n">
        <v>22</v>
      </c>
      <c r="B23" s="19" t="s">
        <v>117</v>
      </c>
      <c r="C23" s="19" t="s">
        <v>113</v>
      </c>
      <c r="D23" s="19" t="s">
        <v>104</v>
      </c>
      <c r="E23" s="20" t="n">
        <v>46299</v>
      </c>
      <c r="F23" s="20" t="n">
        <v>46306</v>
      </c>
      <c r="G23" s="21" t="n">
        <f aca="false">E23+$O$2</f>
        <v>46306</v>
      </c>
      <c r="H23" s="21" t="n">
        <f aca="false">IF(F23="",$O$3,F23)</f>
        <v>46306</v>
      </c>
      <c r="I23" s="22" t="n">
        <f aca="false">MAX(0,H23-G23)</f>
        <v>0</v>
      </c>
      <c r="J23" s="23" t="n">
        <f aca="false">VLOOKUP(D23,Acuan!$A$2:$B$5,2,FALSE())</f>
        <v>1000</v>
      </c>
      <c r="K23" s="23" t="n">
        <f aca="false">I23*J23</f>
        <v>0</v>
      </c>
      <c r="L23" s="24" t="str">
        <f aca="false">IF(F23="","Belum Kembali",IF(I23&gt;0,"Terlambat","Tepat Waktu"))</f>
        <v>Tepat Waktu</v>
      </c>
    </row>
    <row r="24" customFormat="false" ht="15" hidden="false" customHeight="false" outlineLevel="0" collapsed="false">
      <c r="A24" s="18" t="n">
        <v>23</v>
      </c>
      <c r="B24" s="19" t="s">
        <v>117</v>
      </c>
      <c r="C24" s="19" t="s">
        <v>106</v>
      </c>
      <c r="D24" s="19" t="s">
        <v>91</v>
      </c>
      <c r="E24" s="20" t="n">
        <v>46299</v>
      </c>
      <c r="F24" s="20" t="n">
        <v>46309</v>
      </c>
      <c r="G24" s="21" t="n">
        <f aca="false">E24+$O$2</f>
        <v>46306</v>
      </c>
      <c r="H24" s="21" t="n">
        <f aca="false">IF(F24="",$O$3,F24)</f>
        <v>46309</v>
      </c>
      <c r="I24" s="22" t="n">
        <f aca="false">MAX(0,H24-G24)</f>
        <v>3</v>
      </c>
      <c r="J24" s="23" t="n">
        <f aca="false">VLOOKUP(D24,Acuan!$A$2:$B$5,2,FALSE())</f>
        <v>2000</v>
      </c>
      <c r="K24" s="23" t="n">
        <f aca="false">I24*J24</f>
        <v>6000</v>
      </c>
      <c r="L24" s="24" t="str">
        <f aca="false">IF(F24="","Belum Kembali",IF(I24&gt;0,"Terlambat","Tepat Waktu"))</f>
        <v>Terlambat</v>
      </c>
    </row>
    <row r="25" customFormat="false" ht="15" hidden="false" customHeight="false" outlineLevel="0" collapsed="false">
      <c r="A25" s="18" t="n">
        <v>24</v>
      </c>
      <c r="B25" s="19" t="s">
        <v>89</v>
      </c>
      <c r="C25" s="19" t="s">
        <v>109</v>
      </c>
      <c r="D25" s="19" t="s">
        <v>91</v>
      </c>
      <c r="E25" s="20" t="n">
        <v>46301</v>
      </c>
      <c r="F25" s="20"/>
      <c r="G25" s="21" t="n">
        <f aca="false">E25+$O$2</f>
        <v>46308</v>
      </c>
      <c r="H25" s="21" t="n">
        <f aca="false">IF(F25="",$O$3,F25)</f>
        <v>46310</v>
      </c>
      <c r="I25" s="22" t="n">
        <f aca="false">MAX(0,H25-G25)</f>
        <v>2</v>
      </c>
      <c r="J25" s="23" t="n">
        <f aca="false">VLOOKUP(D25,Acuan!$A$2:$B$5,2,FALSE())</f>
        <v>2000</v>
      </c>
      <c r="K25" s="23" t="n">
        <f aca="false">I25*J25</f>
        <v>4000</v>
      </c>
      <c r="L25" s="24" t="str">
        <f aca="false">IF(F25="","Belum Kembali",IF(I25&gt;0,"Terlambat","Tepat Waktu"))</f>
        <v>Belum Kembali</v>
      </c>
    </row>
    <row r="26" customFormat="false" ht="15" hidden="false" customHeight="false" outlineLevel="0" collapsed="false">
      <c r="A26" s="18" t="n">
        <v>25</v>
      </c>
      <c r="B26" s="19" t="s">
        <v>110</v>
      </c>
      <c r="C26" s="19" t="s">
        <v>118</v>
      </c>
      <c r="D26" s="19" t="s">
        <v>104</v>
      </c>
      <c r="E26" s="20" t="n">
        <v>46302</v>
      </c>
      <c r="F26" s="20" t="n">
        <v>46304</v>
      </c>
      <c r="G26" s="21" t="n">
        <f aca="false">E26+$O$2</f>
        <v>46309</v>
      </c>
      <c r="H26" s="21" t="n">
        <f aca="false">IF(F26="",$O$3,F26)</f>
        <v>46304</v>
      </c>
      <c r="I26" s="22" t="n">
        <f aca="false">MAX(0,H26-G26)</f>
        <v>0</v>
      </c>
      <c r="J26" s="23" t="n">
        <f aca="false">VLOOKUP(D26,Acuan!$A$2:$B$5,2,FALSE())</f>
        <v>1000</v>
      </c>
      <c r="K26" s="23" t="n">
        <f aca="false">I26*J26</f>
        <v>0</v>
      </c>
      <c r="L26" s="24" t="str">
        <f aca="false">IF(F26="","Belum Kembali",IF(I26&gt;0,"Terlambat","Tepat Waktu"))</f>
        <v>Tepat Waktu</v>
      </c>
    </row>
    <row r="27" customFormat="false" ht="15" hidden="false" customHeight="false" outlineLevel="0" collapsed="false">
      <c r="A27" s="18" t="n">
        <v>26</v>
      </c>
      <c r="B27" s="19" t="s">
        <v>117</v>
      </c>
      <c r="C27" s="19" t="s">
        <v>119</v>
      </c>
      <c r="D27" s="19" t="s">
        <v>101</v>
      </c>
      <c r="E27" s="20" t="n">
        <v>46302</v>
      </c>
      <c r="F27" s="20" t="n">
        <v>46304</v>
      </c>
      <c r="G27" s="21" t="n">
        <f aca="false">E27+$O$2</f>
        <v>46309</v>
      </c>
      <c r="H27" s="21" t="n">
        <f aca="false">IF(F27="",$O$3,F27)</f>
        <v>46304</v>
      </c>
      <c r="I27" s="22" t="n">
        <f aca="false">MAX(0,H27-G27)</f>
        <v>0</v>
      </c>
      <c r="J27" s="23" t="n">
        <f aca="false">VLOOKUP(D27,Acuan!$A$2:$B$5,2,FALSE())</f>
        <v>500</v>
      </c>
      <c r="K27" s="23" t="n">
        <f aca="false">I27*J27</f>
        <v>0</v>
      </c>
      <c r="L27" s="24" t="str">
        <f aca="false">IF(F27="","Belum Kembali",IF(I27&gt;0,"Terlambat","Tepat Waktu"))</f>
        <v>Tepat Waktu</v>
      </c>
    </row>
    <row r="28" customFormat="false" ht="15" hidden="false" customHeight="false" outlineLevel="0" collapsed="false">
      <c r="A28" s="18" t="n">
        <v>27</v>
      </c>
      <c r="B28" s="19" t="s">
        <v>120</v>
      </c>
      <c r="C28" s="19" t="s">
        <v>121</v>
      </c>
      <c r="D28" s="19" t="s">
        <v>95</v>
      </c>
      <c r="E28" s="20" t="n">
        <v>46303</v>
      </c>
      <c r="F28" s="20"/>
      <c r="G28" s="21" t="n">
        <f aca="false">E28+$O$2</f>
        <v>46310</v>
      </c>
      <c r="H28" s="21" t="n">
        <f aca="false">IF(F28="",$O$3,F28)</f>
        <v>46310</v>
      </c>
      <c r="I28" s="22" t="n">
        <f aca="false">MAX(0,H28-G28)</f>
        <v>0</v>
      </c>
      <c r="J28" s="23" t="n">
        <f aca="false">VLOOKUP(D28,Acuan!$A$2:$B$5,2,FALSE())</f>
        <v>500</v>
      </c>
      <c r="K28" s="23" t="n">
        <f aca="false">I28*J28</f>
        <v>0</v>
      </c>
      <c r="L28" s="24" t="str">
        <f aca="false">IF(F28="","Belum Kembali",IF(I28&gt;0,"Terlambat","Tepat Waktu"))</f>
        <v>Belum Kembali</v>
      </c>
    </row>
    <row r="29" customFormat="false" ht="15" hidden="false" customHeight="false" outlineLevel="0" collapsed="false">
      <c r="A29" s="18" t="n">
        <v>28</v>
      </c>
      <c r="B29" s="19" t="s">
        <v>116</v>
      </c>
      <c r="C29" s="19" t="s">
        <v>106</v>
      </c>
      <c r="D29" s="19" t="s">
        <v>91</v>
      </c>
      <c r="E29" s="20" t="n">
        <v>46304</v>
      </c>
      <c r="F29" s="20"/>
      <c r="G29" s="21" t="n">
        <f aca="false">E29+$O$2</f>
        <v>46311</v>
      </c>
      <c r="H29" s="21" t="n">
        <f aca="false">IF(F29="",$O$3,F29)</f>
        <v>46310</v>
      </c>
      <c r="I29" s="22" t="n">
        <f aca="false">MAX(0,H29-G29)</f>
        <v>0</v>
      </c>
      <c r="J29" s="23" t="n">
        <f aca="false">VLOOKUP(D29,Acuan!$A$2:$B$5,2,FALSE())</f>
        <v>2000</v>
      </c>
      <c r="K29" s="23" t="n">
        <f aca="false">I29*J29</f>
        <v>0</v>
      </c>
      <c r="L29" s="24" t="str">
        <f aca="false">IF(F29="","Belum Kembali",IF(I29&gt;0,"Terlambat","Tepat Waktu"))</f>
        <v>Belum Kembali</v>
      </c>
    </row>
    <row r="30" customFormat="false" ht="15" hidden="false" customHeight="false" outlineLevel="0" collapsed="false">
      <c r="A30" s="18" t="n">
        <v>29</v>
      </c>
      <c r="B30" s="19" t="s">
        <v>122</v>
      </c>
      <c r="C30" s="19" t="s">
        <v>90</v>
      </c>
      <c r="D30" s="19" t="s">
        <v>91</v>
      </c>
      <c r="E30" s="20" t="n">
        <v>46306</v>
      </c>
      <c r="F30" s="20"/>
      <c r="G30" s="21" t="n">
        <f aca="false">E30+$O$2</f>
        <v>46313</v>
      </c>
      <c r="H30" s="21" t="n">
        <f aca="false">IF(F30="",$O$3,F30)</f>
        <v>46310</v>
      </c>
      <c r="I30" s="22" t="n">
        <f aca="false">MAX(0,H30-G30)</f>
        <v>0</v>
      </c>
      <c r="J30" s="23" t="n">
        <f aca="false">VLOOKUP(D30,Acuan!$A$2:$B$5,2,FALSE())</f>
        <v>2000</v>
      </c>
      <c r="K30" s="23" t="n">
        <f aca="false">I30*J30</f>
        <v>0</v>
      </c>
      <c r="L30" s="24" t="str">
        <f aca="false">IF(F30="","Belum Kembali",IF(I30&gt;0,"Terlambat","Tepat Waktu"))</f>
        <v>Belum Kembali</v>
      </c>
    </row>
    <row r="31" customFormat="false" ht="15" hidden="false" customHeight="false" outlineLevel="0" collapsed="false">
      <c r="A31" s="18" t="n">
        <v>30</v>
      </c>
      <c r="B31" s="19" t="s">
        <v>120</v>
      </c>
      <c r="C31" s="19" t="s">
        <v>108</v>
      </c>
      <c r="D31" s="19" t="s">
        <v>101</v>
      </c>
      <c r="E31" s="20" t="n">
        <v>46307</v>
      </c>
      <c r="F31" s="20"/>
      <c r="G31" s="21" t="n">
        <f aca="false">E31+$O$2</f>
        <v>46314</v>
      </c>
      <c r="H31" s="21" t="n">
        <f aca="false">IF(F31="",$O$3,F31)</f>
        <v>46310</v>
      </c>
      <c r="I31" s="22" t="n">
        <f aca="false">MAX(0,H31-G31)</f>
        <v>0</v>
      </c>
      <c r="J31" s="23" t="n">
        <f aca="false">VLOOKUP(D31,Acuan!$A$2:$B$5,2,FALSE())</f>
        <v>500</v>
      </c>
      <c r="K31" s="23" t="n">
        <f aca="false">I31*J31</f>
        <v>0</v>
      </c>
      <c r="L31" s="24" t="str">
        <f aca="false">IF(F31="","Belum Kembali",IF(I31&gt;0,"Terlambat","Tepat Waktu"))</f>
        <v>Belum Kembali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4"/>
  </cols>
  <sheetData>
    <row r="1" customFormat="false" ht="33.75" hidden="false" customHeight="true" outlineLevel="0" collapsed="false">
      <c r="A1" s="12" t="s">
        <v>77</v>
      </c>
      <c r="B1" s="12" t="s">
        <v>83</v>
      </c>
      <c r="C1" s="16" t="s">
        <v>123</v>
      </c>
      <c r="D1" s="16" t="s">
        <v>84</v>
      </c>
    </row>
    <row r="2" customFormat="false" ht="15" hidden="false" customHeight="false" outlineLevel="0" collapsed="false">
      <c r="A2" s="19" t="s">
        <v>95</v>
      </c>
      <c r="B2" s="29" t="n">
        <v>500</v>
      </c>
      <c r="C2" s="22" t="n">
        <f aca="false">COUNTIF(Data!$D$2:$D$31,A2)</f>
        <v>8</v>
      </c>
      <c r="D2" s="23" t="n">
        <f aca="false">SUMIF(Data!$D$2:$D$31,A2,Data!$K$2:$K$31)</f>
        <v>6500</v>
      </c>
    </row>
    <row r="3" customFormat="false" ht="15" hidden="false" customHeight="false" outlineLevel="0" collapsed="false">
      <c r="A3" s="19" t="s">
        <v>91</v>
      </c>
      <c r="B3" s="29" t="n">
        <v>2000</v>
      </c>
      <c r="C3" s="22" t="n">
        <f aca="false">COUNTIF(Data!$D$2:$D$31,A3)</f>
        <v>11</v>
      </c>
      <c r="D3" s="23" t="n">
        <f aca="false">SUMIF(Data!$D$2:$D$31,A3,Data!$K$2:$K$31)</f>
        <v>72000</v>
      </c>
    </row>
    <row r="4" customFormat="false" ht="15" hidden="false" customHeight="false" outlineLevel="0" collapsed="false">
      <c r="A4" s="19" t="s">
        <v>101</v>
      </c>
      <c r="B4" s="29" t="n">
        <v>500</v>
      </c>
      <c r="C4" s="22" t="n">
        <f aca="false">COUNTIF(Data!$D$2:$D$31,A4)</f>
        <v>5</v>
      </c>
      <c r="D4" s="23" t="n">
        <f aca="false">SUMIF(Data!$D$2:$D$31,A4,Data!$K$2:$K$31)</f>
        <v>3000</v>
      </c>
    </row>
    <row r="5" customFormat="false" ht="15" hidden="false" customHeight="false" outlineLevel="0" collapsed="false">
      <c r="A5" s="19" t="s">
        <v>104</v>
      </c>
      <c r="B5" s="29" t="n">
        <v>1000</v>
      </c>
      <c r="C5" s="22" t="n">
        <f aca="false">COUNTIF(Data!$D$2:$D$31,A5)</f>
        <v>6</v>
      </c>
      <c r="D5" s="23" t="n">
        <f aca="false">SUMIF(Data!$D$2:$D$31,A5,Data!$K$2:$K$31)</f>
        <v>14000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30" t="s">
        <v>124</v>
      </c>
      <c r="B1" s="30"/>
      <c r="C1" s="30"/>
      <c r="D1" s="30"/>
    </row>
    <row r="2" customFormat="false" ht="15" hidden="false" customHeight="false" outlineLevel="0" collapsed="false">
      <c r="A2" s="31" t="s">
        <v>125</v>
      </c>
      <c r="B2" s="31"/>
      <c r="C2" s="31"/>
      <c r="D2" s="31"/>
    </row>
    <row r="3" customFormat="false" ht="15" hidden="false" customHeight="false" outlineLevel="0" collapsed="false">
      <c r="A3" s="12" t="s">
        <v>19</v>
      </c>
      <c r="B3" s="12" t="s">
        <v>126</v>
      </c>
      <c r="C3" s="12" t="s">
        <v>127</v>
      </c>
      <c r="D3" s="12" t="s">
        <v>128</v>
      </c>
    </row>
    <row r="4" customFormat="false" ht="19.5" hidden="false" customHeight="true" outlineLevel="0" collapsed="false">
      <c r="A4" s="32" t="s">
        <v>47</v>
      </c>
      <c r="B4" s="33" t="s">
        <v>129</v>
      </c>
      <c r="C4" s="23" t="n">
        <f aca="false">SUM(Data!$K$2:$K$31)</f>
        <v>95500</v>
      </c>
      <c r="D4" s="27" t="s">
        <v>130</v>
      </c>
    </row>
    <row r="5" customFormat="false" ht="19.5" hidden="false" customHeight="true" outlineLevel="0" collapsed="false">
      <c r="A5" s="32" t="s">
        <v>131</v>
      </c>
      <c r="B5" s="33" t="s">
        <v>132</v>
      </c>
      <c r="C5" s="22" t="n">
        <f aca="false">COUNTIF(Data!$L$2:$L$31,"Tepat Waktu")</f>
        <v>13</v>
      </c>
      <c r="D5" s="27" t="s">
        <v>133</v>
      </c>
    </row>
    <row r="6" customFormat="false" ht="19.5" hidden="false" customHeight="true" outlineLevel="0" collapsed="false">
      <c r="A6" s="32" t="s">
        <v>134</v>
      </c>
      <c r="B6" s="33" t="s">
        <v>135</v>
      </c>
      <c r="C6" s="22" t="n">
        <f aca="false">COUNTIF(Data!$L$2:$L$31,"Terlambat")</f>
        <v>11</v>
      </c>
      <c r="D6" s="27" t="s">
        <v>133</v>
      </c>
    </row>
    <row r="7" customFormat="false" ht="19.5" hidden="false" customHeight="true" outlineLevel="0" collapsed="false">
      <c r="A7" s="32" t="s">
        <v>136</v>
      </c>
      <c r="B7" s="33" t="s">
        <v>137</v>
      </c>
      <c r="C7" s="22" t="n">
        <f aca="false">COUNTIF(Data!$L$2:$L$31,"Belum Kembali")</f>
        <v>6</v>
      </c>
      <c r="D7" s="27" t="s">
        <v>133</v>
      </c>
    </row>
    <row r="8" customFormat="false" ht="19.5" hidden="false" customHeight="true" outlineLevel="0" collapsed="false">
      <c r="A8" s="32" t="s">
        <v>55</v>
      </c>
      <c r="B8" s="33" t="s">
        <v>138</v>
      </c>
      <c r="C8" s="22" t="n">
        <f aca="false">COUNTIFS(Data!$L$2:$L$31,"Belum Kembali",Data!$I$2:$I$31,"&gt;0")</f>
        <v>2</v>
      </c>
      <c r="D8" s="27" t="s">
        <v>139</v>
      </c>
    </row>
    <row r="9" customFormat="false" ht="19.5" hidden="false" customHeight="true" outlineLevel="0" collapsed="false">
      <c r="A9" s="32" t="s">
        <v>59</v>
      </c>
      <c r="B9" s="33" t="s">
        <v>140</v>
      </c>
      <c r="C9" s="24" t="str">
        <f aca="false">INDEX(Data!$B$2:$B$31,MATCH(MAX(Data!$I$2:$I$31),Data!$I$2:$I$31,0))</f>
        <v>Ratna Handayani</v>
      </c>
      <c r="D9" s="27" t="s">
        <v>141</v>
      </c>
    </row>
    <row r="10" customFormat="false" ht="19.5" hidden="false" customHeight="true" outlineLevel="0" collapsed="false">
      <c r="A10" s="32" t="s">
        <v>71</v>
      </c>
      <c r="B10" s="33" t="s">
        <v>142</v>
      </c>
      <c r="C10" s="24" t="str">
        <f aca="false">INDEX(Acuan!$A$2:$A$5,MATCH(MAX(Acuan!$D$2:$D$5),Acuan!$D$2:$D$5,0))</f>
        <v>Referensi</v>
      </c>
      <c r="D10" s="27" t="s">
        <v>143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2026-10-10T06:49:18Z</dcterms:created>
  <dc:creator>PushExcel</dc:creator>
  <dc:description/>
  <dc:language>en-US</dc:language>
  <cp:lastModifiedBy/>
  <dcterms:modified xsi:type="dcterms:W3CDTF">2026-10-10T06:49:18Z</dcterms:modified>
  <cp:revision>0</cp:revision>
  <dc:subject/>
  <dc:title>Peminjaman Buku dan Denda Perpustakaan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