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Ringkas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<sst xmlns="http://schemas.openxmlformats.org/spreadsheetml/2006/main" count="190" uniqueCount="165">
  <si>
    <t xml:space="preserve">Kunci Jawaban: Stok Gudang Alat Tulis dan Perlengkapan Kantor</t>
  </si>
  <si>
    <t xml:space="preserve">Latihan 2 dari 24  |  Tingkat: Pemula  |  Perkiraan waktu: 40 menit  |  pushexcel.github.io/Pushexcel</t>
  </si>
  <si>
    <t xml:space="preserve">Skenario</t>
  </si>
  <si>
    <t xml:space="preserve">Kamu admin gudang di Toko Mitra Karya. Akhir bulan, kamu menyusun laporan stok untuk 25 barang perlengkapan kantor: alat tulis (ATK), kebersihan (KBR), dan elektronik (ELK). Dari laporan itu kamu menentukan barang yang harus dipesan ulang dan berapa nilai persediaan yang masih ada.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</si>
  <si>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</si>
  <si>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</si>
  <si>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</si>
  <si>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</si>
  <si>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</si>
  <si>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</si>
  <si>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</si>
  <si>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</si>
  <si>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</si>
  <si>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</si>
  <si>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</si>
  <si>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</si>
  <si>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</si>
  <si>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</si>
  <si>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</si>
  <si>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</si>
  <si>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</si>
  <si>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</si>
  <si>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</si>
  <si>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</si>
  <si>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Ambil kode kategori dari tiga huruf pertama Kode Barang.</t>
  </si>
  <si>
    <t xml:space="preserve">Sheet Data, kolom I (Kategori), baris 2 sampai 26</t>
  </si>
  <si>
    <t xml:space="preserve">=LEFT(A2;3)</t>
  </si>
  <si>
    <t xml:space="preserve">2</t>
  </si>
  <si>
    <t xml:space="preserve">Hitung stok akhir: stok awal ditambah barang masuk, dikurangi barang keluar.</t>
  </si>
  <si>
    <t xml:space="preserve">Sheet Data, kolom J (Stok Akhir), baris 2 sampai 26</t>
  </si>
  <si>
    <t xml:space="preserve">=D2+E2-F2</t>
  </si>
  <si>
    <t xml:space="preserve">3</t>
  </si>
  <si>
    <t xml:space="preserve">Beri status Pesan Ulang bila stok akhir sama dengan atau di bawah stok minimum, selain itu Aman.</t>
  </si>
  <si>
    <t xml:space="preserve">Sheet Data, kolom K (Status), baris 2 sampai 26</t>
  </si>
  <si>
    <t xml:space="preserve">=IF(J2&lt;=H2;"Pesan Ulang";"Aman")</t>
  </si>
  <si>
    <t xml:space="preserve">4</t>
  </si>
  <si>
    <t xml:space="preserve">Hitung nilai persediaan: stok akhir dikali harga satuan.</t>
  </si>
  <si>
    <t xml:space="preserve">Sheet Data, kolom L (Nilai Persediaan), baris 2 sampai 26</t>
  </si>
  <si>
    <t xml:space="preserve">=J2*G2</t>
  </si>
  <si>
    <t xml:space="preserve">5</t>
  </si>
  <si>
    <t xml:space="preserve">Hitung jumlah yang harus dipesan. Untuk barang berstatus Pesan Ulang, pesan sebanyak target stok dikurangi stok akhir. Barang lain 0.</t>
  </si>
  <si>
    <t xml:space="preserve">Sheet Data, kolom M (Jumlah Dipesan), baris 2 sampai 26</t>
  </si>
  <si>
    <t xml:space="preserve">=IF(K2="Pesan Ulang";H2*$P$2-J2;0)</t>
  </si>
  <si>
    <t xml:space="preserve">6</t>
  </si>
  <si>
    <t xml:space="preserve">Berapa total nilai seluruh persediaan?</t>
  </si>
  <si>
    <t xml:space="preserve">Sheet Ringkasan, sel C4</t>
  </si>
  <si>
    <t xml:space="preserve">=SUM(Data!$L$2:$L$26)</t>
  </si>
  <si>
    <t xml:space="preserve">7</t>
  </si>
  <si>
    <t xml:space="preserve">Berapa jenis barang yang berstatus Pesan Ulang?</t>
  </si>
  <si>
    <t xml:space="preserve">Sheet Ringkasan, sel C5</t>
  </si>
  <si>
    <t xml:space="preserve">=COUNTIF(Data!$K$2:$K$26;"Pesan Ulang")</t>
  </si>
  <si>
    <t xml:space="preserve">8</t>
  </si>
  <si>
    <t xml:space="preserve">Barang apa yang nilai persediaannya paling besar?</t>
  </si>
  <si>
    <t xml:space="preserve">Sheet Ringkasan, sel C6</t>
  </si>
  <si>
    <t xml:space="preserve">=INDEX(Data!$B$2:$B$26;MATCH(MAX(Data!$L$2:$L$26);Data!$L$2:$L$26;0))</t>
  </si>
  <si>
    <t xml:space="preserve">9</t>
  </si>
  <si>
    <t xml:space="preserve">Hitung total nilai persediaan untuk masing-masing kategori: ATK, KBR, dan ELK.</t>
  </si>
  <si>
    <t xml:space="preserve">Sheet Ringkasan, sel C7 sampai C9</t>
  </si>
  <si>
    <t xml:space="preserve">=SUMIF(Data!$I$2:$I$26;"ATK";Data!$L$2:$L$26)
=SUMIF(Data!$I$2:$I$26;"KBR";Data!$L$2:$L$26)
=SUMIF(Data!$I$2:$I$26;"ELK";Data!$L$2:$L$26)</t>
  </si>
  <si>
    <t xml:space="preserve">10</t>
  </si>
  <si>
    <t xml:space="preserve">Berapa total unit barang yang keluar selama bulan ini?</t>
  </si>
  <si>
    <t xml:space="preserve">Sheet Ringkasan, sel C10</t>
  </si>
  <si>
    <t xml:space="preserve">=SUM(Data!$F$2:$F$26)</t>
  </si>
  <si>
    <t xml:space="preserve">11</t>
  </si>
  <si>
    <t xml:space="preserve">Berapa biaya yang dibutuhkan untuk memesan semua barang berstatus Pesan Ulang?</t>
  </si>
  <si>
    <t xml:space="preserve">Sheet Ringkasan, sel C11</t>
  </si>
  <si>
    <t xml:space="preserve">=SUMPRODUCT(Data!$M$2:$M$26;Data!$G$2:$G$26)</t>
  </si>
  <si>
    <t xml:space="preserve">Kode Barang</t>
  </si>
  <si>
    <t xml:space="preserve">Nama Barang</t>
  </si>
  <si>
    <t xml:space="preserve">Satuan</t>
  </si>
  <si>
    <t xml:space="preserve">Stok Awal</t>
  </si>
  <si>
    <t xml:space="preserve">Barang Masuk</t>
  </si>
  <si>
    <t xml:space="preserve">Barang Keluar</t>
  </si>
  <si>
    <t xml:space="preserve">Harga Satuan</t>
  </si>
  <si>
    <t xml:space="preserve">Stok Minimum</t>
  </si>
  <si>
    <t xml:space="preserve">Kategori</t>
  </si>
  <si>
    <t xml:space="preserve">Stok Akhir</t>
  </si>
  <si>
    <t xml:space="preserve">Status</t>
  </si>
  <si>
    <t xml:space="preserve">Nilai Persediaan</t>
  </si>
  <si>
    <t xml:space="preserve">Jumlah Dipesan</t>
  </si>
  <si>
    <t xml:space="preserve">Parameter</t>
  </si>
  <si>
    <t xml:space="preserve">Nilai</t>
  </si>
  <si>
    <t xml:space="preserve">Keterangan</t>
  </si>
  <si>
    <t xml:space="preserve">ATK-001</t>
  </si>
  <si>
    <t xml:space="preserve">Kertas HVS A4 80 gr</t>
  </si>
  <si>
    <t xml:space="preserve">Rim</t>
  </si>
  <si>
    <t xml:space="preserve">Target stok = stok minimum x</t>
  </si>
  <si>
    <t xml:space="preserve">Saat pesan ulang, stok dinaikkan sampai kelipatan ini dari stok minimum</t>
  </si>
  <si>
    <t xml:space="preserve">ATK-002</t>
  </si>
  <si>
    <t xml:space="preserve">Kertas HVS F4 80 gr</t>
  </si>
  <si>
    <t xml:space="preserve">ATK-003</t>
  </si>
  <si>
    <t xml:space="preserve">Pulpen Hitam</t>
  </si>
  <si>
    <t xml:space="preserve">Lusin</t>
  </si>
  <si>
    <t xml:space="preserve">ATK-004</t>
  </si>
  <si>
    <t xml:space="preserve">Pulpen Biru</t>
  </si>
  <si>
    <t xml:space="preserve">ATK-005</t>
  </si>
  <si>
    <t xml:space="preserve">Pensil 2B</t>
  </si>
  <si>
    <t xml:space="preserve">ATK-006</t>
  </si>
  <si>
    <t xml:space="preserve">Penghapus</t>
  </si>
  <si>
    <t xml:space="preserve">Buah</t>
  </si>
  <si>
    <t xml:space="preserve">ATK-007</t>
  </si>
  <si>
    <t xml:space="preserve">Spidol Whiteboard</t>
  </si>
  <si>
    <t xml:space="preserve">ATK-008</t>
  </si>
  <si>
    <t xml:space="preserve">Spidol Permanen</t>
  </si>
  <si>
    <t xml:space="preserve">ATK-009</t>
  </si>
  <si>
    <t xml:space="preserve">Stapler Kecil</t>
  </si>
  <si>
    <t xml:space="preserve">ATK-010</t>
  </si>
  <si>
    <t xml:space="preserve">Isi Staples No. 10</t>
  </si>
  <si>
    <t xml:space="preserve">Kotak</t>
  </si>
  <si>
    <t xml:space="preserve">ATK-011</t>
  </si>
  <si>
    <t xml:space="preserve">Map Plastik</t>
  </si>
  <si>
    <t xml:space="preserve">ATK-012</t>
  </si>
  <si>
    <t xml:space="preserve">Ordner Folio</t>
  </si>
  <si>
    <t xml:space="preserve">ATK-013</t>
  </si>
  <si>
    <t xml:space="preserve">Amplop Coklat Folio</t>
  </si>
  <si>
    <t xml:space="preserve">Pak</t>
  </si>
  <si>
    <t xml:space="preserve">ATK-014</t>
  </si>
  <si>
    <t xml:space="preserve">Lakban Bening</t>
  </si>
  <si>
    <t xml:space="preserve">Roll</t>
  </si>
  <si>
    <t xml:space="preserve">ATK-015</t>
  </si>
  <si>
    <t xml:space="preserve">Buku Folio 100 Lembar</t>
  </si>
  <si>
    <t xml:space="preserve">KBR-001</t>
  </si>
  <si>
    <t xml:space="preserve">Cairan Pel Lantai</t>
  </si>
  <si>
    <t xml:space="preserve">Botol</t>
  </si>
  <si>
    <t xml:space="preserve">KBR-002</t>
  </si>
  <si>
    <t xml:space="preserve">Sabun Cuci Tangan</t>
  </si>
  <si>
    <t xml:space="preserve">KBR-003</t>
  </si>
  <si>
    <t xml:space="preserve">Tisu Wajah</t>
  </si>
  <si>
    <t xml:space="preserve">KBR-004</t>
  </si>
  <si>
    <t xml:space="preserve">Kantong Sampah Besar</t>
  </si>
  <si>
    <t xml:space="preserve">KBR-005</t>
  </si>
  <si>
    <t xml:space="preserve">Pengharum Ruangan</t>
  </si>
  <si>
    <t xml:space="preserve">Kaleng</t>
  </si>
  <si>
    <t xml:space="preserve">ELK-001</t>
  </si>
  <si>
    <t xml:space="preserve">Baterai AA</t>
  </si>
  <si>
    <t xml:space="preserve">ELK-002</t>
  </si>
  <si>
    <t xml:space="preserve">Flashdisk 32 GB</t>
  </si>
  <si>
    <t xml:space="preserve">ELK-003</t>
  </si>
  <si>
    <t xml:space="preserve">Mouse Kabel</t>
  </si>
  <si>
    <t xml:space="preserve">ELK-004</t>
  </si>
  <si>
    <t xml:space="preserve">Kabel LAN 5 meter</t>
  </si>
  <si>
    <t xml:space="preserve">ELK-005</t>
  </si>
  <si>
    <t xml:space="preserve">Kalkulator 12 Digit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</si>
  <si>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</si>
  <si>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</si>
  <si>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</si>
  <si>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</si>
  <si>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</si>
  <si>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nilai persediaan seluruh barang</t>
  </si>
  <si>
    <t xml:space="preserve">Rupiah, mis. Rp 24.500.000</t>
  </si>
  <si>
    <t xml:space="preserve">Jumlah jenis barang berstatus Pesan Ulang</t>
  </si>
  <si>
    <t xml:space="preserve">Angka bulat, mis. 7</t>
  </si>
  <si>
    <t xml:space="preserve">Nama barang dengan nilai persediaan terbesar</t>
  </si>
  <si>
    <t xml:space="preserve">Teks: nama barang</t>
  </si>
  <si>
    <t xml:space="preserve">9a</t>
  </si>
  <si>
    <t xml:space="preserve">Total nilai persediaan kategori ATK</t>
  </si>
  <si>
    <t xml:space="preserve">Rupiah, mis. Rp 12.300.000</t>
  </si>
  <si>
    <t xml:space="preserve">9b</t>
  </si>
  <si>
    <t xml:space="preserve">Total nilai persediaan kategori KBR</t>
  </si>
  <si>
    <t xml:space="preserve">9c</t>
  </si>
  <si>
    <t xml:space="preserve">Total nilai persediaan kategori ELK</t>
  </si>
  <si>
    <t xml:space="preserve">Total unit barang keluar</t>
  </si>
  <si>
    <t xml:space="preserve">Angka bulat, mis. 310</t>
  </si>
  <si>
    <t xml:space="preserve">Total biaya pesan ulang</t>
  </si>
  <si>
    <t xml:space="preserve">Rupiah, mis. Rp 3.150.000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</si>
</sst>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&quot;Rp &quot;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42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69.75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7" min="7" style="0" width="13"/>
    <col collapsed="false" customWidth="true" hidden="false" outlineLevel="0" max="10" min="8" style="0" width="10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4" min="14" style="0" width="3"/>
    <col collapsed="false" customWidth="true" hidden="false" outlineLevel="0" max="15" min="15" style="0" width="30"/>
    <col collapsed="false" customWidth="true" hidden="false" outlineLevel="0" max="16" min="16" style="0" width="16"/>
    <col collapsed="false" customWidth="true" hidden="false" outlineLevel="0" max="17" min="17" style="0" width="42"/>
  </cols>
  <sheetData>
    <row r="1" customFormat="false" ht="33.75" hidden="false" customHeight="true" outlineLevel="0" collapsed="false">
      <c r="A1" s="12" t="s">
        <v>67</v>
      </c>
      <c r="B1" s="12" t="s">
        <v>68</v>
      </c>
      <c r="C1" s="12" t="s">
        <v>69</v>
      </c>
      <c r="D1" s="12" t="s">
        <v>70</v>
      </c>
      <c r="E1" s="12" t="s">
        <v>71</v>
      </c>
      <c r="F1" s="12" t="s">
        <v>72</v>
      </c>
      <c r="G1" s="12" t="s">
        <v>73</v>
      </c>
      <c r="H1" s="12" t="s">
        <v>74</v>
      </c>
      <c r="I1" s="16" t="s">
        <v>75</v>
      </c>
      <c r="J1" s="16" t="s">
        <v>76</v>
      </c>
      <c r="K1" s="16" t="s">
        <v>77</v>
      </c>
      <c r="L1" s="16" t="s">
        <v>78</v>
      </c>
      <c r="M1" s="16" t="s">
        <v>79</v>
      </c>
      <c r="O1" s="17" t="s">
        <v>80</v>
      </c>
      <c r="P1" s="17" t="s">
        <v>81</v>
      </c>
      <c r="Q1" s="17" t="s">
        <v>82</v>
      </c>
    </row>
    <row r="2" customFormat="false" ht="22.35" hidden="false" customHeight="false" outlineLevel="0" collapsed="false">
      <c r="A2" s="18" t="s">
        <v>83</v>
      </c>
      <c r="B2" s="18" t="s">
        <v>84</v>
      </c>
      <c r="C2" s="18" t="s">
        <v>85</v>
      </c>
      <c r="D2" s="19" t="n">
        <v>33</v>
      </c>
      <c r="E2" s="19" t="n">
        <v>0</v>
      </c>
      <c r="F2" s="19" t="n">
        <v>11</v>
      </c>
      <c r="G2" s="20" t="n">
        <v>52000</v>
      </c>
      <c r="H2" s="19" t="n">
        <v>12</v>
      </c>
      <c r="I2" s="21" t="str">
        <f aca="false">LEFT(A2,3)</f>
        <v>ATK</v>
      </c>
      <c r="J2" s="22" t="n">
        <f aca="false">D2+E2-F2</f>
        <v>22</v>
      </c>
      <c r="K2" s="21" t="str">
        <f aca="false">IF(J2&lt;=H2,"Pesan Ulang","Aman")</f>
        <v>Aman</v>
      </c>
      <c r="L2" s="23" t="n">
        <f aca="false">J2*G2</f>
        <v>1144000</v>
      </c>
      <c r="M2" s="22" t="n">
        <f aca="false">IF(K2="Pesan Ulang",H2*$P$2-J2,0)</f>
        <v>0</v>
      </c>
      <c r="O2" s="24" t="s">
        <v>86</v>
      </c>
      <c r="P2" s="25" t="n">
        <v>3</v>
      </c>
      <c r="Q2" s="26" t="s">
        <v>87</v>
      </c>
    </row>
    <row r="3" customFormat="false" ht="15" hidden="false" customHeight="false" outlineLevel="0" collapsed="false">
      <c r="A3" s="18" t="s">
        <v>88</v>
      </c>
      <c r="B3" s="18" t="s">
        <v>89</v>
      </c>
      <c r="C3" s="18" t="s">
        <v>85</v>
      </c>
      <c r="D3" s="19" t="n">
        <v>27</v>
      </c>
      <c r="E3" s="19" t="n">
        <v>0</v>
      </c>
      <c r="F3" s="19" t="n">
        <v>23</v>
      </c>
      <c r="G3" s="20" t="n">
        <v>58000</v>
      </c>
      <c r="H3" s="19" t="n">
        <v>15</v>
      </c>
      <c r="I3" s="21" t="str">
        <f aca="false">LEFT(A3,3)</f>
        <v>ATK</v>
      </c>
      <c r="J3" s="22" t="n">
        <f aca="false">D3+E3-F3</f>
        <v>4</v>
      </c>
      <c r="K3" s="21" t="str">
        <f aca="false">IF(J3&lt;=H3,"Pesan Ulang","Aman")</f>
        <v>Pesan Ulang</v>
      </c>
      <c r="L3" s="23" t="n">
        <f aca="false">J3*G3</f>
        <v>232000</v>
      </c>
      <c r="M3" s="22" t="n">
        <f aca="false">IF(K3="Pesan Ulang",H3*$P$2-J3,0)</f>
        <v>41</v>
      </c>
    </row>
    <row r="4" customFormat="false" ht="15" hidden="false" customHeight="false" outlineLevel="0" collapsed="false">
      <c r="A4" s="18" t="s">
        <v>90</v>
      </c>
      <c r="B4" s="18" t="s">
        <v>91</v>
      </c>
      <c r="C4" s="18" t="s">
        <v>92</v>
      </c>
      <c r="D4" s="19" t="n">
        <v>50</v>
      </c>
      <c r="E4" s="19" t="n">
        <v>30</v>
      </c>
      <c r="F4" s="19" t="n">
        <v>73</v>
      </c>
      <c r="G4" s="20" t="n">
        <v>24000</v>
      </c>
      <c r="H4" s="19" t="n">
        <v>5</v>
      </c>
      <c r="I4" s="21" t="str">
        <f aca="false">LEFT(A4,3)</f>
        <v>ATK</v>
      </c>
      <c r="J4" s="22" t="n">
        <f aca="false">D4+E4-F4</f>
        <v>7</v>
      </c>
      <c r="K4" s="21" t="str">
        <f aca="false">IF(J4&lt;=H4,"Pesan Ulang","Aman")</f>
        <v>Aman</v>
      </c>
      <c r="L4" s="23" t="n">
        <f aca="false">J4*G4</f>
        <v>168000</v>
      </c>
      <c r="M4" s="22" t="n">
        <f aca="false">IF(K4="Pesan Ulang",H4*$P$2-J4,0)</f>
        <v>0</v>
      </c>
    </row>
    <row r="5" customFormat="false" ht="15" hidden="false" customHeight="false" outlineLevel="0" collapsed="false">
      <c r="A5" s="18" t="s">
        <v>93</v>
      </c>
      <c r="B5" s="18" t="s">
        <v>94</v>
      </c>
      <c r="C5" s="18" t="s">
        <v>92</v>
      </c>
      <c r="D5" s="19" t="n">
        <v>35</v>
      </c>
      <c r="E5" s="19" t="n">
        <v>0</v>
      </c>
      <c r="F5" s="19" t="n">
        <v>30</v>
      </c>
      <c r="G5" s="20" t="n">
        <v>24000</v>
      </c>
      <c r="H5" s="19" t="n">
        <v>8</v>
      </c>
      <c r="I5" s="21" t="str">
        <f aca="false">LEFT(A5,3)</f>
        <v>ATK</v>
      </c>
      <c r="J5" s="22" t="n">
        <f aca="false">D5+E5-F5</f>
        <v>5</v>
      </c>
      <c r="K5" s="21" t="str">
        <f aca="false">IF(J5&lt;=H5,"Pesan Ulang","Aman")</f>
        <v>Pesan Ulang</v>
      </c>
      <c r="L5" s="23" t="n">
        <f aca="false">J5*G5</f>
        <v>120000</v>
      </c>
      <c r="M5" s="22" t="n">
        <f aca="false">IF(K5="Pesan Ulang",H5*$P$2-J5,0)</f>
        <v>19</v>
      </c>
    </row>
    <row r="6" customFormat="false" ht="15" hidden="false" customHeight="false" outlineLevel="0" collapsed="false">
      <c r="A6" s="18" t="s">
        <v>95</v>
      </c>
      <c r="B6" s="18" t="s">
        <v>96</v>
      </c>
      <c r="C6" s="18" t="s">
        <v>92</v>
      </c>
      <c r="D6" s="19" t="n">
        <v>19</v>
      </c>
      <c r="E6" s="19" t="n">
        <v>20</v>
      </c>
      <c r="F6" s="19" t="n">
        <v>29</v>
      </c>
      <c r="G6" s="20" t="n">
        <v>18000</v>
      </c>
      <c r="H6" s="19" t="n">
        <v>5</v>
      </c>
      <c r="I6" s="21" t="str">
        <f aca="false">LEFT(A6,3)</f>
        <v>ATK</v>
      </c>
      <c r="J6" s="22" t="n">
        <f aca="false">D6+E6-F6</f>
        <v>10</v>
      </c>
      <c r="K6" s="21" t="str">
        <f aca="false">IF(J6&lt;=H6,"Pesan Ulang","Aman")</f>
        <v>Aman</v>
      </c>
      <c r="L6" s="23" t="n">
        <f aca="false">J6*G6</f>
        <v>180000</v>
      </c>
      <c r="M6" s="22" t="n">
        <f aca="false">IF(K6="Pesan Ulang",H6*$P$2-J6,0)</f>
        <v>0</v>
      </c>
    </row>
    <row r="7" customFormat="false" ht="15" hidden="false" customHeight="false" outlineLevel="0" collapsed="false">
      <c r="A7" s="18" t="s">
        <v>97</v>
      </c>
      <c r="B7" s="18" t="s">
        <v>98</v>
      </c>
      <c r="C7" s="18" t="s">
        <v>99</v>
      </c>
      <c r="D7" s="19" t="n">
        <v>20</v>
      </c>
      <c r="E7" s="19" t="n">
        <v>20</v>
      </c>
      <c r="F7" s="19" t="n">
        <v>22</v>
      </c>
      <c r="G7" s="20" t="n">
        <v>3000</v>
      </c>
      <c r="H7" s="19" t="n">
        <v>10</v>
      </c>
      <c r="I7" s="21" t="str">
        <f aca="false">LEFT(A7,3)</f>
        <v>ATK</v>
      </c>
      <c r="J7" s="22" t="n">
        <f aca="false">D7+E7-F7</f>
        <v>18</v>
      </c>
      <c r="K7" s="21" t="str">
        <f aca="false">IF(J7&lt;=H7,"Pesan Ulang","Aman")</f>
        <v>Aman</v>
      </c>
      <c r="L7" s="23" t="n">
        <f aca="false">J7*G7</f>
        <v>54000</v>
      </c>
      <c r="M7" s="22" t="n">
        <f aca="false">IF(K7="Pesan Ulang",H7*$P$2-J7,0)</f>
        <v>0</v>
      </c>
    </row>
    <row r="8" customFormat="false" ht="15" hidden="false" customHeight="false" outlineLevel="0" collapsed="false">
      <c r="A8" s="18" t="s">
        <v>100</v>
      </c>
      <c r="B8" s="18" t="s">
        <v>101</v>
      </c>
      <c r="C8" s="18" t="s">
        <v>99</v>
      </c>
      <c r="D8" s="19" t="n">
        <v>60</v>
      </c>
      <c r="E8" s="19" t="n">
        <v>20</v>
      </c>
      <c r="F8" s="19" t="n">
        <v>40</v>
      </c>
      <c r="G8" s="20" t="n">
        <v>9000</v>
      </c>
      <c r="H8" s="19" t="n">
        <v>8</v>
      </c>
      <c r="I8" s="21" t="str">
        <f aca="false">LEFT(A8,3)</f>
        <v>ATK</v>
      </c>
      <c r="J8" s="22" t="n">
        <f aca="false">D8+E8-F8</f>
        <v>40</v>
      </c>
      <c r="K8" s="21" t="str">
        <f aca="false">IF(J8&lt;=H8,"Pesan Ulang","Aman")</f>
        <v>Aman</v>
      </c>
      <c r="L8" s="23" t="n">
        <f aca="false">J8*G8</f>
        <v>360000</v>
      </c>
      <c r="M8" s="22" t="n">
        <f aca="false">IF(K8="Pesan Ulang",H8*$P$2-J8,0)</f>
        <v>0</v>
      </c>
    </row>
    <row r="9" customFormat="false" ht="15" hidden="false" customHeight="false" outlineLevel="0" collapsed="false">
      <c r="A9" s="18" t="s">
        <v>102</v>
      </c>
      <c r="B9" s="18" t="s">
        <v>103</v>
      </c>
      <c r="C9" s="18" t="s">
        <v>99</v>
      </c>
      <c r="D9" s="19" t="n">
        <v>48</v>
      </c>
      <c r="E9" s="19" t="n">
        <v>0</v>
      </c>
      <c r="F9" s="19" t="n">
        <v>38</v>
      </c>
      <c r="G9" s="20" t="n">
        <v>8000</v>
      </c>
      <c r="H9" s="19" t="n">
        <v>10</v>
      </c>
      <c r="I9" s="21" t="str">
        <f aca="false">LEFT(A9,3)</f>
        <v>ATK</v>
      </c>
      <c r="J9" s="22" t="n">
        <f aca="false">D9+E9-F9</f>
        <v>10</v>
      </c>
      <c r="K9" s="21" t="str">
        <f aca="false">IF(J9&lt;=H9,"Pesan Ulang","Aman")</f>
        <v>Pesan Ulang</v>
      </c>
      <c r="L9" s="23" t="n">
        <f aca="false">J9*G9</f>
        <v>80000</v>
      </c>
      <c r="M9" s="22" t="n">
        <f aca="false">IF(K9="Pesan Ulang",H9*$P$2-J9,0)</f>
        <v>20</v>
      </c>
    </row>
    <row r="10" customFormat="false" ht="15" hidden="false" customHeight="false" outlineLevel="0" collapsed="false">
      <c r="A10" s="18" t="s">
        <v>104</v>
      </c>
      <c r="B10" s="18" t="s">
        <v>105</v>
      </c>
      <c r="C10" s="18" t="s">
        <v>99</v>
      </c>
      <c r="D10" s="19" t="n">
        <v>11</v>
      </c>
      <c r="E10" s="19" t="n">
        <v>20</v>
      </c>
      <c r="F10" s="19" t="n">
        <v>18</v>
      </c>
      <c r="G10" s="20" t="n">
        <v>22000</v>
      </c>
      <c r="H10" s="19" t="n">
        <v>15</v>
      </c>
      <c r="I10" s="21" t="str">
        <f aca="false">LEFT(A10,3)</f>
        <v>ATK</v>
      </c>
      <c r="J10" s="22" t="n">
        <f aca="false">D10+E10-F10</f>
        <v>13</v>
      </c>
      <c r="K10" s="21" t="str">
        <f aca="false">IF(J10&lt;=H10,"Pesan Ulang","Aman")</f>
        <v>Pesan Ulang</v>
      </c>
      <c r="L10" s="23" t="n">
        <f aca="false">J10*G10</f>
        <v>286000</v>
      </c>
      <c r="M10" s="22" t="n">
        <f aca="false">IF(K10="Pesan Ulang",H10*$P$2-J10,0)</f>
        <v>32</v>
      </c>
    </row>
    <row r="11" customFormat="false" ht="15" hidden="false" customHeight="false" outlineLevel="0" collapsed="false">
      <c r="A11" s="18" t="s">
        <v>106</v>
      </c>
      <c r="B11" s="18" t="s">
        <v>107</v>
      </c>
      <c r="C11" s="18" t="s">
        <v>108</v>
      </c>
      <c r="D11" s="19" t="n">
        <v>15</v>
      </c>
      <c r="E11" s="19" t="n">
        <v>0</v>
      </c>
      <c r="F11" s="19" t="n">
        <v>8</v>
      </c>
      <c r="G11" s="20" t="n">
        <v>5000</v>
      </c>
      <c r="H11" s="19" t="n">
        <v>10</v>
      </c>
      <c r="I11" s="21" t="str">
        <f aca="false">LEFT(A11,3)</f>
        <v>ATK</v>
      </c>
      <c r="J11" s="22" t="n">
        <f aca="false">D11+E11-F11</f>
        <v>7</v>
      </c>
      <c r="K11" s="21" t="str">
        <f aca="false">IF(J11&lt;=H11,"Pesan Ulang","Aman")</f>
        <v>Pesan Ulang</v>
      </c>
      <c r="L11" s="23" t="n">
        <f aca="false">J11*G11</f>
        <v>35000</v>
      </c>
      <c r="M11" s="22" t="n">
        <f aca="false">IF(K11="Pesan Ulang",H11*$P$2-J11,0)</f>
        <v>23</v>
      </c>
    </row>
    <row r="12" customFormat="false" ht="15" hidden="false" customHeight="false" outlineLevel="0" collapsed="false">
      <c r="A12" s="18" t="s">
        <v>109</v>
      </c>
      <c r="B12" s="18" t="s">
        <v>110</v>
      </c>
      <c r="C12" s="18" t="s">
        <v>99</v>
      </c>
      <c r="D12" s="19" t="n">
        <v>54</v>
      </c>
      <c r="E12" s="19" t="n">
        <v>0</v>
      </c>
      <c r="F12" s="19" t="n">
        <v>19</v>
      </c>
      <c r="G12" s="20" t="n">
        <v>4000</v>
      </c>
      <c r="H12" s="19" t="n">
        <v>10</v>
      </c>
      <c r="I12" s="21" t="str">
        <f aca="false">LEFT(A12,3)</f>
        <v>ATK</v>
      </c>
      <c r="J12" s="22" t="n">
        <f aca="false">D12+E12-F12</f>
        <v>35</v>
      </c>
      <c r="K12" s="21" t="str">
        <f aca="false">IF(J12&lt;=H12,"Pesan Ulang","Aman")</f>
        <v>Aman</v>
      </c>
      <c r="L12" s="23" t="n">
        <f aca="false">J12*G12</f>
        <v>140000</v>
      </c>
      <c r="M12" s="22" t="n">
        <f aca="false">IF(K12="Pesan Ulang",H12*$P$2-J12,0)</f>
        <v>0</v>
      </c>
    </row>
    <row r="13" customFormat="false" ht="15" hidden="false" customHeight="false" outlineLevel="0" collapsed="false">
      <c r="A13" s="18" t="s">
        <v>111</v>
      </c>
      <c r="B13" s="18" t="s">
        <v>112</v>
      </c>
      <c r="C13" s="18" t="s">
        <v>99</v>
      </c>
      <c r="D13" s="19" t="n">
        <v>42</v>
      </c>
      <c r="E13" s="19" t="n">
        <v>20</v>
      </c>
      <c r="F13" s="19" t="n">
        <v>39</v>
      </c>
      <c r="G13" s="20" t="n">
        <v>28000</v>
      </c>
      <c r="H13" s="19" t="n">
        <v>5</v>
      </c>
      <c r="I13" s="21" t="str">
        <f aca="false">LEFT(A13,3)</f>
        <v>ATK</v>
      </c>
      <c r="J13" s="22" t="n">
        <f aca="false">D13+E13-F13</f>
        <v>23</v>
      </c>
      <c r="K13" s="21" t="str">
        <f aca="false">IF(J13&lt;=H13,"Pesan Ulang","Aman")</f>
        <v>Aman</v>
      </c>
      <c r="L13" s="23" t="n">
        <f aca="false">J13*G13</f>
        <v>644000</v>
      </c>
      <c r="M13" s="22" t="n">
        <f aca="false">IF(K13="Pesan Ulang",H13*$P$2-J13,0)</f>
        <v>0</v>
      </c>
    </row>
    <row r="14" customFormat="false" ht="15" hidden="false" customHeight="false" outlineLevel="0" collapsed="false">
      <c r="A14" s="18" t="s">
        <v>113</v>
      </c>
      <c r="B14" s="18" t="s">
        <v>114</v>
      </c>
      <c r="C14" s="18" t="s">
        <v>115</v>
      </c>
      <c r="D14" s="19" t="n">
        <v>25</v>
      </c>
      <c r="E14" s="19" t="n">
        <v>10</v>
      </c>
      <c r="F14" s="19" t="n">
        <v>13</v>
      </c>
      <c r="G14" s="20" t="n">
        <v>32000</v>
      </c>
      <c r="H14" s="19" t="n">
        <v>8</v>
      </c>
      <c r="I14" s="21" t="str">
        <f aca="false">LEFT(A14,3)</f>
        <v>ATK</v>
      </c>
      <c r="J14" s="22" t="n">
        <f aca="false">D14+E14-F14</f>
        <v>22</v>
      </c>
      <c r="K14" s="21" t="str">
        <f aca="false">IF(J14&lt;=H14,"Pesan Ulang","Aman")</f>
        <v>Aman</v>
      </c>
      <c r="L14" s="23" t="n">
        <f aca="false">J14*G14</f>
        <v>704000</v>
      </c>
      <c r="M14" s="22" t="n">
        <f aca="false">IF(K14="Pesan Ulang",H14*$P$2-J14,0)</f>
        <v>0</v>
      </c>
    </row>
    <row r="15" customFormat="false" ht="15" hidden="false" customHeight="false" outlineLevel="0" collapsed="false">
      <c r="A15" s="18" t="s">
        <v>116</v>
      </c>
      <c r="B15" s="18" t="s">
        <v>117</v>
      </c>
      <c r="C15" s="18" t="s">
        <v>118</v>
      </c>
      <c r="D15" s="19" t="n">
        <v>55</v>
      </c>
      <c r="E15" s="19" t="n">
        <v>20</v>
      </c>
      <c r="F15" s="19" t="n">
        <v>46</v>
      </c>
      <c r="G15" s="20" t="n">
        <v>11000</v>
      </c>
      <c r="H15" s="19" t="n">
        <v>12</v>
      </c>
      <c r="I15" s="21" t="str">
        <f aca="false">LEFT(A15,3)</f>
        <v>ATK</v>
      </c>
      <c r="J15" s="22" t="n">
        <f aca="false">D15+E15-F15</f>
        <v>29</v>
      </c>
      <c r="K15" s="21" t="str">
        <f aca="false">IF(J15&lt;=H15,"Pesan Ulang","Aman")</f>
        <v>Aman</v>
      </c>
      <c r="L15" s="23" t="n">
        <f aca="false">J15*G15</f>
        <v>319000</v>
      </c>
      <c r="M15" s="22" t="n">
        <f aca="false">IF(K15="Pesan Ulang",H15*$P$2-J15,0)</f>
        <v>0</v>
      </c>
    </row>
    <row r="16" customFormat="false" ht="15" hidden="false" customHeight="false" outlineLevel="0" collapsed="false">
      <c r="A16" s="18" t="s">
        <v>119</v>
      </c>
      <c r="B16" s="18" t="s">
        <v>120</v>
      </c>
      <c r="C16" s="18" t="s">
        <v>99</v>
      </c>
      <c r="D16" s="19" t="n">
        <v>22</v>
      </c>
      <c r="E16" s="19" t="n">
        <v>0</v>
      </c>
      <c r="F16" s="19" t="n">
        <v>11</v>
      </c>
      <c r="G16" s="20" t="n">
        <v>14000</v>
      </c>
      <c r="H16" s="19" t="n">
        <v>5</v>
      </c>
      <c r="I16" s="21" t="str">
        <f aca="false">LEFT(A16,3)</f>
        <v>ATK</v>
      </c>
      <c r="J16" s="22" t="n">
        <f aca="false">D16+E16-F16</f>
        <v>11</v>
      </c>
      <c r="K16" s="21" t="str">
        <f aca="false">IF(J16&lt;=H16,"Pesan Ulang","Aman")</f>
        <v>Aman</v>
      </c>
      <c r="L16" s="23" t="n">
        <f aca="false">J16*G16</f>
        <v>154000</v>
      </c>
      <c r="M16" s="22" t="n">
        <f aca="false">IF(K16="Pesan Ulang",H16*$P$2-J16,0)</f>
        <v>0</v>
      </c>
    </row>
    <row r="17" customFormat="false" ht="15" hidden="false" customHeight="false" outlineLevel="0" collapsed="false">
      <c r="A17" s="18" t="s">
        <v>121</v>
      </c>
      <c r="B17" s="18" t="s">
        <v>122</v>
      </c>
      <c r="C17" s="18" t="s">
        <v>123</v>
      </c>
      <c r="D17" s="19" t="n">
        <v>36</v>
      </c>
      <c r="E17" s="19" t="n">
        <v>0</v>
      </c>
      <c r="F17" s="19" t="n">
        <v>30</v>
      </c>
      <c r="G17" s="20" t="n">
        <v>16000</v>
      </c>
      <c r="H17" s="19" t="n">
        <v>12</v>
      </c>
      <c r="I17" s="21" t="str">
        <f aca="false">LEFT(A17,3)</f>
        <v>KBR</v>
      </c>
      <c r="J17" s="22" t="n">
        <f aca="false">D17+E17-F17</f>
        <v>6</v>
      </c>
      <c r="K17" s="21" t="str">
        <f aca="false">IF(J17&lt;=H17,"Pesan Ulang","Aman")</f>
        <v>Pesan Ulang</v>
      </c>
      <c r="L17" s="23" t="n">
        <f aca="false">J17*G17</f>
        <v>96000</v>
      </c>
      <c r="M17" s="22" t="n">
        <f aca="false">IF(K17="Pesan Ulang",H17*$P$2-J17,0)</f>
        <v>30</v>
      </c>
    </row>
    <row r="18" customFormat="false" ht="15" hidden="false" customHeight="false" outlineLevel="0" collapsed="false">
      <c r="A18" s="18" t="s">
        <v>124</v>
      </c>
      <c r="B18" s="18" t="s">
        <v>125</v>
      </c>
      <c r="C18" s="18" t="s">
        <v>123</v>
      </c>
      <c r="D18" s="19" t="n">
        <v>50</v>
      </c>
      <c r="E18" s="19" t="n">
        <v>20</v>
      </c>
      <c r="F18" s="19" t="n">
        <v>43</v>
      </c>
      <c r="G18" s="20" t="n">
        <v>18000</v>
      </c>
      <c r="H18" s="19" t="n">
        <v>8</v>
      </c>
      <c r="I18" s="21" t="str">
        <f aca="false">LEFT(A18,3)</f>
        <v>KBR</v>
      </c>
      <c r="J18" s="22" t="n">
        <f aca="false">D18+E18-F18</f>
        <v>27</v>
      </c>
      <c r="K18" s="21" t="str">
        <f aca="false">IF(J18&lt;=H18,"Pesan Ulang","Aman")</f>
        <v>Aman</v>
      </c>
      <c r="L18" s="23" t="n">
        <f aca="false">J18*G18</f>
        <v>486000</v>
      </c>
      <c r="M18" s="22" t="n">
        <f aca="false">IF(K18="Pesan Ulang",H18*$P$2-J18,0)</f>
        <v>0</v>
      </c>
    </row>
    <row r="19" customFormat="false" ht="15" hidden="false" customHeight="false" outlineLevel="0" collapsed="false">
      <c r="A19" s="18" t="s">
        <v>126</v>
      </c>
      <c r="B19" s="18" t="s">
        <v>127</v>
      </c>
      <c r="C19" s="18" t="s">
        <v>108</v>
      </c>
      <c r="D19" s="19" t="n">
        <v>59</v>
      </c>
      <c r="E19" s="19" t="n">
        <v>30</v>
      </c>
      <c r="F19" s="19" t="n">
        <v>56</v>
      </c>
      <c r="G19" s="20" t="n">
        <v>13000</v>
      </c>
      <c r="H19" s="19" t="n">
        <v>15</v>
      </c>
      <c r="I19" s="21" t="str">
        <f aca="false">LEFT(A19,3)</f>
        <v>KBR</v>
      </c>
      <c r="J19" s="22" t="n">
        <f aca="false">D19+E19-F19</f>
        <v>33</v>
      </c>
      <c r="K19" s="21" t="str">
        <f aca="false">IF(J19&lt;=H19,"Pesan Ulang","Aman")</f>
        <v>Aman</v>
      </c>
      <c r="L19" s="23" t="n">
        <f aca="false">J19*G19</f>
        <v>429000</v>
      </c>
      <c r="M19" s="22" t="n">
        <f aca="false">IF(K19="Pesan Ulang",H19*$P$2-J19,0)</f>
        <v>0</v>
      </c>
    </row>
    <row r="20" customFormat="false" ht="15" hidden="false" customHeight="false" outlineLevel="0" collapsed="false">
      <c r="A20" s="18" t="s">
        <v>128</v>
      </c>
      <c r="B20" s="18" t="s">
        <v>129</v>
      </c>
      <c r="C20" s="18" t="s">
        <v>115</v>
      </c>
      <c r="D20" s="19" t="n">
        <v>16</v>
      </c>
      <c r="E20" s="19" t="n">
        <v>0</v>
      </c>
      <c r="F20" s="19" t="n">
        <v>8</v>
      </c>
      <c r="G20" s="20" t="n">
        <v>12000</v>
      </c>
      <c r="H20" s="19" t="n">
        <v>15</v>
      </c>
      <c r="I20" s="21" t="str">
        <f aca="false">LEFT(A20,3)</f>
        <v>KBR</v>
      </c>
      <c r="J20" s="22" t="n">
        <f aca="false">D20+E20-F20</f>
        <v>8</v>
      </c>
      <c r="K20" s="21" t="str">
        <f aca="false">IF(J20&lt;=H20,"Pesan Ulang","Aman")</f>
        <v>Pesan Ulang</v>
      </c>
      <c r="L20" s="23" t="n">
        <f aca="false">J20*G20</f>
        <v>96000</v>
      </c>
      <c r="M20" s="22" t="n">
        <f aca="false">IF(K20="Pesan Ulang",H20*$P$2-J20,0)</f>
        <v>37</v>
      </c>
    </row>
    <row r="21" customFormat="false" ht="15" hidden="false" customHeight="false" outlineLevel="0" collapsed="false">
      <c r="A21" s="18" t="s">
        <v>130</v>
      </c>
      <c r="B21" s="18" t="s">
        <v>131</v>
      </c>
      <c r="C21" s="18" t="s">
        <v>132</v>
      </c>
      <c r="D21" s="19" t="n">
        <v>60</v>
      </c>
      <c r="E21" s="19" t="n">
        <v>30</v>
      </c>
      <c r="F21" s="19" t="n">
        <v>67</v>
      </c>
      <c r="G21" s="20" t="n">
        <v>20000</v>
      </c>
      <c r="H21" s="19" t="n">
        <v>10</v>
      </c>
      <c r="I21" s="21" t="str">
        <f aca="false">LEFT(A21,3)</f>
        <v>KBR</v>
      </c>
      <c r="J21" s="22" t="n">
        <f aca="false">D21+E21-F21</f>
        <v>23</v>
      </c>
      <c r="K21" s="21" t="str">
        <f aca="false">IF(J21&lt;=H21,"Pesan Ulang","Aman")</f>
        <v>Aman</v>
      </c>
      <c r="L21" s="23" t="n">
        <f aca="false">J21*G21</f>
        <v>460000</v>
      </c>
      <c r="M21" s="22" t="n">
        <f aca="false">IF(K21="Pesan Ulang",H21*$P$2-J21,0)</f>
        <v>0</v>
      </c>
    </row>
    <row r="22" customFormat="false" ht="15" hidden="false" customHeight="false" outlineLevel="0" collapsed="false">
      <c r="A22" s="18" t="s">
        <v>133</v>
      </c>
      <c r="B22" s="18" t="s">
        <v>134</v>
      </c>
      <c r="C22" s="18" t="s">
        <v>115</v>
      </c>
      <c r="D22" s="19" t="n">
        <v>32</v>
      </c>
      <c r="E22" s="19" t="n">
        <v>30</v>
      </c>
      <c r="F22" s="19" t="n">
        <v>41</v>
      </c>
      <c r="G22" s="20" t="n">
        <v>22000</v>
      </c>
      <c r="H22" s="19" t="n">
        <v>5</v>
      </c>
      <c r="I22" s="21" t="str">
        <f aca="false">LEFT(A22,3)</f>
        <v>ELK</v>
      </c>
      <c r="J22" s="22" t="n">
        <f aca="false">D22+E22-F22</f>
        <v>21</v>
      </c>
      <c r="K22" s="21" t="str">
        <f aca="false">IF(J22&lt;=H22,"Pesan Ulang","Aman")</f>
        <v>Aman</v>
      </c>
      <c r="L22" s="23" t="n">
        <f aca="false">J22*G22</f>
        <v>462000</v>
      </c>
      <c r="M22" s="22" t="n">
        <f aca="false">IF(K22="Pesan Ulang",H22*$P$2-J22,0)</f>
        <v>0</v>
      </c>
    </row>
    <row r="23" customFormat="false" ht="15" hidden="false" customHeight="false" outlineLevel="0" collapsed="false">
      <c r="A23" s="18" t="s">
        <v>135</v>
      </c>
      <c r="B23" s="18" t="s">
        <v>136</v>
      </c>
      <c r="C23" s="18" t="s">
        <v>99</v>
      </c>
      <c r="D23" s="19" t="n">
        <v>16</v>
      </c>
      <c r="E23" s="19" t="n">
        <v>30</v>
      </c>
      <c r="F23" s="19" t="n">
        <v>29</v>
      </c>
      <c r="G23" s="20" t="n">
        <v>65000</v>
      </c>
      <c r="H23" s="19" t="n">
        <v>8</v>
      </c>
      <c r="I23" s="21" t="str">
        <f aca="false">LEFT(A23,3)</f>
        <v>ELK</v>
      </c>
      <c r="J23" s="22" t="n">
        <f aca="false">D23+E23-F23</f>
        <v>17</v>
      </c>
      <c r="K23" s="21" t="str">
        <f aca="false">IF(J23&lt;=H23,"Pesan Ulang","Aman")</f>
        <v>Aman</v>
      </c>
      <c r="L23" s="23" t="n">
        <f aca="false">J23*G23</f>
        <v>1105000</v>
      </c>
      <c r="M23" s="22" t="n">
        <f aca="false">IF(K23="Pesan Ulang",H23*$P$2-J23,0)</f>
        <v>0</v>
      </c>
    </row>
    <row r="24" customFormat="false" ht="15" hidden="false" customHeight="false" outlineLevel="0" collapsed="false">
      <c r="A24" s="18" t="s">
        <v>137</v>
      </c>
      <c r="B24" s="18" t="s">
        <v>138</v>
      </c>
      <c r="C24" s="18" t="s">
        <v>99</v>
      </c>
      <c r="D24" s="19" t="n">
        <v>8</v>
      </c>
      <c r="E24" s="19" t="n">
        <v>20</v>
      </c>
      <c r="F24" s="19" t="n">
        <v>12</v>
      </c>
      <c r="G24" s="20" t="n">
        <v>45000</v>
      </c>
      <c r="H24" s="19" t="n">
        <v>5</v>
      </c>
      <c r="I24" s="21" t="str">
        <f aca="false">LEFT(A24,3)</f>
        <v>ELK</v>
      </c>
      <c r="J24" s="22" t="n">
        <f aca="false">D24+E24-F24</f>
        <v>16</v>
      </c>
      <c r="K24" s="21" t="str">
        <f aca="false">IF(J24&lt;=H24,"Pesan Ulang","Aman")</f>
        <v>Aman</v>
      </c>
      <c r="L24" s="23" t="n">
        <f aca="false">J24*G24</f>
        <v>720000</v>
      </c>
      <c r="M24" s="22" t="n">
        <f aca="false">IF(K24="Pesan Ulang",H24*$P$2-J24,0)</f>
        <v>0</v>
      </c>
    </row>
    <row r="25" customFormat="false" ht="15" hidden="false" customHeight="false" outlineLevel="0" collapsed="false">
      <c r="A25" s="18" t="s">
        <v>139</v>
      </c>
      <c r="B25" s="18" t="s">
        <v>140</v>
      </c>
      <c r="C25" s="18" t="s">
        <v>99</v>
      </c>
      <c r="D25" s="19" t="n">
        <v>41</v>
      </c>
      <c r="E25" s="19" t="n">
        <v>30</v>
      </c>
      <c r="F25" s="19" t="n">
        <v>50</v>
      </c>
      <c r="G25" s="20" t="n">
        <v>25000</v>
      </c>
      <c r="H25" s="19" t="n">
        <v>15</v>
      </c>
      <c r="I25" s="21" t="str">
        <f aca="false">LEFT(A25,3)</f>
        <v>ELK</v>
      </c>
      <c r="J25" s="22" t="n">
        <f aca="false">D25+E25-F25</f>
        <v>21</v>
      </c>
      <c r="K25" s="21" t="str">
        <f aca="false">IF(J25&lt;=H25,"Pesan Ulang","Aman")</f>
        <v>Aman</v>
      </c>
      <c r="L25" s="23" t="n">
        <f aca="false">J25*G25</f>
        <v>525000</v>
      </c>
      <c r="M25" s="22" t="n">
        <f aca="false">IF(K25="Pesan Ulang",H25*$P$2-J25,0)</f>
        <v>0</v>
      </c>
    </row>
    <row r="26" customFormat="false" ht="15" hidden="false" customHeight="false" outlineLevel="0" collapsed="false">
      <c r="A26" s="18" t="s">
        <v>141</v>
      </c>
      <c r="B26" s="18" t="s">
        <v>142</v>
      </c>
      <c r="C26" s="18" t="s">
        <v>99</v>
      </c>
      <c r="D26" s="19" t="n">
        <v>39</v>
      </c>
      <c r="E26" s="19" t="n">
        <v>0</v>
      </c>
      <c r="F26" s="19" t="n">
        <v>35</v>
      </c>
      <c r="G26" s="20" t="n">
        <v>70000</v>
      </c>
      <c r="H26" s="19" t="n">
        <v>5</v>
      </c>
      <c r="I26" s="21" t="str">
        <f aca="false">LEFT(A26,3)</f>
        <v>ELK</v>
      </c>
      <c r="J26" s="22" t="n">
        <f aca="false">D26+E26-F26</f>
        <v>4</v>
      </c>
      <c r="K26" s="21" t="str">
        <f aca="false">IF(J26&lt;=H26,"Pesan Ulang","Aman")</f>
        <v>Pesan Ulang</v>
      </c>
      <c r="L26" s="23" t="n">
        <f aca="false">J26*G26</f>
        <v>280000</v>
      </c>
      <c r="M26" s="22" t="n">
        <f aca="false">IF(K26="Pesan Ulang",H26*$P$2-J26,0)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7" t="s">
        <v>143</v>
      </c>
      <c r="B1" s="27"/>
      <c r="C1" s="27"/>
      <c r="D1" s="27"/>
    </row>
    <row r="2" customFormat="false" ht="15" hidden="false" customHeight="false" outlineLevel="0" collapsed="false">
      <c r="A2" s="28" t="s">
        <v>144</v>
      </c>
      <c r="B2" s="28"/>
      <c r="C2" s="28"/>
      <c r="D2" s="28"/>
    </row>
    <row r="3" customFormat="false" ht="15" hidden="false" customHeight="false" outlineLevel="0" collapsed="false">
      <c r="A3" s="12" t="s">
        <v>19</v>
      </c>
      <c r="B3" s="12" t="s">
        <v>145</v>
      </c>
      <c r="C3" s="12" t="s">
        <v>146</v>
      </c>
      <c r="D3" s="12" t="s">
        <v>147</v>
      </c>
    </row>
    <row r="4" customFormat="false" ht="19.5" hidden="false" customHeight="true" outlineLevel="0" collapsed="false">
      <c r="A4" s="29" t="s">
        <v>43</v>
      </c>
      <c r="B4" s="30" t="s">
        <v>148</v>
      </c>
      <c r="C4" s="23" t="n">
        <f aca="false">SUM(Data!$L$2:$L$26)</f>
        <v>9279000</v>
      </c>
      <c r="D4" s="26" t="s">
        <v>149</v>
      </c>
    </row>
    <row r="5" customFormat="false" ht="19.5" hidden="false" customHeight="true" outlineLevel="0" collapsed="false">
      <c r="A5" s="29" t="s">
        <v>47</v>
      </c>
      <c r="B5" s="30" t="s">
        <v>150</v>
      </c>
      <c r="C5" s="22" t="n">
        <f aca="false">COUNTIF(Data!$K$2:$K$26,"Pesan Ulang")</f>
        <v>8</v>
      </c>
      <c r="D5" s="26" t="s">
        <v>151</v>
      </c>
    </row>
    <row r="6" customFormat="false" ht="19.5" hidden="false" customHeight="true" outlineLevel="0" collapsed="false">
      <c r="A6" s="29" t="s">
        <v>51</v>
      </c>
      <c r="B6" s="30" t="s">
        <v>152</v>
      </c>
      <c r="C6" s="21" t="str">
        <f aca="false">INDEX(Data!$B$2:$B$26,MATCH(MAX(Data!$L$2:$L$26),Data!$L$2:$L$26,0))</f>
        <v>Kertas HVS A4 80 gr</v>
      </c>
      <c r="D6" s="26" t="s">
        <v>153</v>
      </c>
    </row>
    <row r="7" customFormat="false" ht="19.5" hidden="false" customHeight="true" outlineLevel="0" collapsed="false">
      <c r="A7" s="29" t="s">
        <v>154</v>
      </c>
      <c r="B7" s="30" t="s">
        <v>155</v>
      </c>
      <c r="C7" s="23" t="n">
        <f aca="false">SUMIF(Data!$I$2:$I$26,"ATK",Data!$L$2:$L$26)</f>
        <v>4620000</v>
      </c>
      <c r="D7" s="26" t="s">
        <v>156</v>
      </c>
    </row>
    <row r="8" customFormat="false" ht="19.5" hidden="false" customHeight="true" outlineLevel="0" collapsed="false">
      <c r="A8" s="29" t="s">
        <v>157</v>
      </c>
      <c r="B8" s="30" t="s">
        <v>158</v>
      </c>
      <c r="C8" s="23" t="n">
        <f aca="false">SUMIF(Data!$I$2:$I$26,"KBR",Data!$L$2:$L$26)</f>
        <v>1567000</v>
      </c>
      <c r="D8" s="26" t="s">
        <v>156</v>
      </c>
    </row>
    <row r="9" customFormat="false" ht="19.5" hidden="false" customHeight="true" outlineLevel="0" collapsed="false">
      <c r="A9" s="29" t="s">
        <v>159</v>
      </c>
      <c r="B9" s="30" t="s">
        <v>160</v>
      </c>
      <c r="C9" s="23" t="n">
        <f aca="false">SUMIF(Data!$I$2:$I$26,"ELK",Data!$L$2:$L$26)</f>
        <v>3092000</v>
      </c>
      <c r="D9" s="26" t="s">
        <v>156</v>
      </c>
    </row>
    <row r="10" customFormat="false" ht="19.5" hidden="false" customHeight="true" outlineLevel="0" collapsed="false">
      <c r="A10" s="29" t="s">
        <v>59</v>
      </c>
      <c r="B10" s="30" t="s">
        <v>161</v>
      </c>
      <c r="C10" s="22" t="n">
        <f aca="false">SUM(Data!$F$2:$F$26)</f>
        <v>791</v>
      </c>
      <c r="D10" s="26" t="s">
        <v>162</v>
      </c>
    </row>
    <row r="11" customFormat="false" ht="19.5" hidden="false" customHeight="true" outlineLevel="0" collapsed="false">
      <c r="A11" s="29" t="s">
        <v>63</v>
      </c>
      <c r="B11" s="30" t="s">
        <v>163</v>
      </c>
      <c r="C11" s="23" t="n">
        <f aca="false">SUMPRODUCT(Data!$M$2:$M$26,Data!$G$2:$G$26)</f>
        <v>5507000</v>
      </c>
      <c r="D11" s="26" t="s">
        <v>164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2026-10-10T06:49:16Z</dcterms:created>
  <dc:creator>PushExcel</dc:creator>
  <dc:description/>
  <dc:language>en-US</dc:language>
  <cp:lastModifiedBy/>
  <dcterms:modified xsi:type="dcterms:W3CDTF">2026-10-10T06:49:16Z</dcterms:modified>
  <cp:revision>0</cp:revision>
  <dc:subject/>
  <dc:title>Stok Gudang Alat Tulis dan Perlengkapan Kantor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