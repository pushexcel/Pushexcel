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<sst xmlns="http://schemas.openxmlformats.org/spreadsheetml/2006/main" count="210" uniqueCount="133">
  <si>
    <t xml:space="preserve">Kunci Jawaban: Log Kendaraan Operasional dan BBM</t>
  </si>
  <si>
    <t xml:space="preserve">Latihan 11 dari 24  |  Tingkat: Menengah  |  Perkiraan waktu: 45 menit  |  pushexcel.github.io/Pushexcel</t>
  </si>
  <si>
    <t xml:space="preserve">Skenario</t>
  </si>
  <si>
    <t xml:space="preserve">Kamu admin umum di PT Lintas Niaga. Sepanjang Oktober 2026 ada 36 perjalanan dinas dengan lima jenis kendaraan kantor. Dari catatan kilometer dan jumlah BBM, kamu menghitung biaya, konsumsi BBM, dan menilai kendaraan mana yang boros dibandingkan standar pabrikan (sheet Acuan).</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</si>
  <si>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</si>
  <si>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</si>
  <si>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</si>
  <si>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</si>
  <si>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</si>
  <si>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</si>
  <si>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</si>
  <si>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</si>
  <si>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</si>
  <si>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</si>
  <si>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</si>
  <si>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</si>
  <si>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</si>
  <si>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</si>
  <si>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</si>
  <si>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</si>
  <si>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</si>
  <si>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</si>
  <si>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</si>
  <si>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</si>
  <si>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Hitung jarak tempuh: KM akhir dikurangi KM awal.</t>
  </si>
  <si>
    <t xml:space="preserve">Sheet Data, kolom H (Jarak (km)), baris 2 sampai 37</t>
  </si>
  <si>
    <t xml:space="preserve">=F2-E2</t>
  </si>
  <si>
    <t xml:space="preserve">2</t>
  </si>
  <si>
    <t xml:space="preserve">Hitung biaya BBM: jumlah liter dikali harga BBM per liter.</t>
  </si>
  <si>
    <t xml:space="preserve">Sheet Data, kolom I (Biaya BBM), baris 2 sampai 37</t>
  </si>
  <si>
    <t xml:space="preserve">=G2*$Q$2</t>
  </si>
  <si>
    <t xml:space="preserve">3</t>
  </si>
  <si>
    <t xml:space="preserve">Hitung konsumsi BBM dalam km per liter: jarak dibagi jumlah liter.</t>
  </si>
  <si>
    <t xml:space="preserve">Sheet Data, kolom J (Konsumsi (km/liter)), baris 2 sampai 37</t>
  </si>
  <si>
    <t xml:space="preserve">=H2/G2</t>
  </si>
  <si>
    <t xml:space="preserve">4</t>
  </si>
  <si>
    <t xml:space="preserve">Ambil standar konsumsi tiap kendaraan dari tabel di sheet Acuan.</t>
  </si>
  <si>
    <t xml:space="preserve">Sheet Data, kolom K (Standar (km/liter)), baris 2 sampai 37</t>
  </si>
  <si>
    <t xml:space="preserve">=VLOOKUP(C2;Acuan!$A$2:$B$6;2;FALSE)</t>
  </si>
  <si>
    <t xml:space="preserve">5</t>
  </si>
  <si>
    <t xml:space="preserve">Beri status Efisien bila konsumsi sama dengan atau di atas standar, selain itu Boros.</t>
  </si>
  <si>
    <t xml:space="preserve">Sheet Data, kolom L (Efisiensi), baris 2 sampai 37</t>
  </si>
  <si>
    <t xml:space="preserve">=IF(J2&gt;=K2;"Efisien";"Boros")</t>
  </si>
  <si>
    <t xml:space="preserve">6</t>
  </si>
  <si>
    <t xml:space="preserve">Tandai Akhir Pekan untuk perjalanan hari Sabtu atau Minggu, selain itu Hari Kerja.</t>
  </si>
  <si>
    <t xml:space="preserve">Sheet Data, kolom M (Jenis Hari), baris 2 sampai 37</t>
  </si>
  <si>
    <t xml:space="preserve">=IF(WEEKDAY(B2;2)&gt;5;"Akhir Pekan";"Hari Kerja")</t>
  </si>
  <si>
    <t xml:space="preserve">7</t>
  </si>
  <si>
    <t xml:space="preserve">Hitung biaya BBM per kilometer: biaya BBM dibagi jarak.</t>
  </si>
  <si>
    <t xml:space="preserve">Sheet Data, kolom N (Biaya per km), baris 2 sampai 37</t>
  </si>
  <si>
    <t xml:space="preserve">=I2/H2</t>
  </si>
  <si>
    <t xml:space="preserve">8</t>
  </si>
  <si>
    <t xml:space="preserve">Berapa total jarak tempuh seluruh perjalanan?</t>
  </si>
  <si>
    <t xml:space="preserve">Sheet Ringkasan, sel C4</t>
  </si>
  <si>
    <t xml:space="preserve">=SUM(Data!$H$2:$H$37)</t>
  </si>
  <si>
    <t xml:space="preserve">9</t>
  </si>
  <si>
    <t xml:space="preserve">Berapa total biaya BBM bulan Oktober?</t>
  </si>
  <si>
    <t xml:space="preserve">Sheet Ringkasan, sel C5</t>
  </si>
  <si>
    <t xml:space="preserve">=SUM(Data!$I$2:$I$37)</t>
  </si>
  <si>
    <t xml:space="preserve">10</t>
  </si>
  <si>
    <t xml:space="preserve">Berapa rata-rata konsumsi BBM seluruh perjalanan (km per liter)?</t>
  </si>
  <si>
    <t xml:space="preserve">Sheet Ringkasan, sel C6</t>
  </si>
  <si>
    <t xml:space="preserve">=AVERAGE(Data!$J$2:$J$37)</t>
  </si>
  <si>
    <t xml:space="preserve">11</t>
  </si>
  <si>
    <t xml:space="preserve">Berapa perjalanan yang berstatus Boros, dan berapa yang terjadi di Akhir Pekan?</t>
  </si>
  <si>
    <t xml:space="preserve">Sheet Ringkasan, sel C7 sampai C8</t>
  </si>
  <si>
    <t xml:space="preserve">=COUNTIF(Data!$L$2:$L$37;"Boros")
=COUNTIF(Data!$M$2:$M$37;"Akhir Pekan")</t>
  </si>
  <si>
    <t xml:space="preserve">12</t>
  </si>
  <si>
    <t xml:space="preserve">Pada tanggal berapa terjadi perjalanan terjauh?</t>
  </si>
  <si>
    <t xml:space="preserve">Sheet Ringkasan, sel C9</t>
  </si>
  <si>
    <t xml:space="preserve">=INDEX(Data!$B$2:$B$37;MATCH(MAX(Data!$H$2:$H$37);Data!$H$2:$H$37;0))</t>
  </si>
  <si>
    <t xml:space="preserve">13</t>
  </si>
  <si>
    <t xml:space="preserve">Pada sheet Acuan, hitung jumlah perjalanan tiap kendaraan.</t>
  </si>
  <si>
    <t xml:space="preserve">Sheet Acuan, kolom C (Jumlah Perjalanan), baris 2 sampai 6</t>
  </si>
  <si>
    <t xml:space="preserve">=COUNTIF(Data!$C$2:$C$37;A2)</t>
  </si>
  <si>
    <t xml:space="preserve">14</t>
  </si>
  <si>
    <t xml:space="preserve">Pada sheet Acuan, hitung total biaya BBM tiap kendaraan.</t>
  </si>
  <si>
    <t xml:space="preserve">Sheet Acuan, kolom D (Total Biaya BBM), baris 2 sampai 6</t>
  </si>
  <si>
    <t xml:space="preserve">=SUMIF(Data!$C$2:$C$37;A2;Data!$I$2:$I$37)</t>
  </si>
  <si>
    <t xml:space="preserve">15</t>
  </si>
  <si>
    <t xml:space="preserve">Kendaraan mana yang total biaya BBM-nya paling besar?</t>
  </si>
  <si>
    <t xml:space="preserve">Sheet Ringkasan, sel C10</t>
  </si>
  <si>
    <t xml:space="preserve">=INDEX(Acuan!$A$2:$A$6;MATCH(MAX(Acuan!$D$2:$D$6);Acuan!$D$2:$D$6;0))</t>
  </si>
  <si>
    <t xml:space="preserve">Tanggal</t>
  </si>
  <si>
    <t xml:space="preserve">Kendaraan</t>
  </si>
  <si>
    <t xml:space="preserve">Pengemudi</t>
  </si>
  <si>
    <t xml:space="preserve">KM Awal</t>
  </si>
  <si>
    <t xml:space="preserve">KM Akhir</t>
  </si>
  <si>
    <t xml:space="preserve">BBM (liter)</t>
  </si>
  <si>
    <t xml:space="preserve">Jarak (km)</t>
  </si>
  <si>
    <t xml:space="preserve">Biaya BBM</t>
  </si>
  <si>
    <t xml:space="preserve">Konsumsi (km/liter)</t>
  </si>
  <si>
    <t xml:space="preserve">Standar (km/liter)</t>
  </si>
  <si>
    <t xml:space="preserve">Efisiensi</t>
  </si>
  <si>
    <t xml:space="preserve">Jenis Hari</t>
  </si>
  <si>
    <t xml:space="preserve">Biaya per km</t>
  </si>
  <si>
    <t xml:space="preserve">Parameter</t>
  </si>
  <si>
    <t xml:space="preserve">Nilai</t>
  </si>
  <si>
    <t xml:space="preserve">Keterangan</t>
  </si>
  <si>
    <t xml:space="preserve">Honda Brio</t>
  </si>
  <si>
    <t xml:space="preserve">Dedi Kurniawan</t>
  </si>
  <si>
    <t xml:space="preserve">Harga BBM per liter</t>
  </si>
  <si>
    <t xml:space="preserve">Dipakai untuk semua perjalanan</t>
  </si>
  <si>
    <t xml:space="preserve">Toyota Innova</t>
  </si>
  <si>
    <t xml:space="preserve">Budi Hartono</t>
  </si>
  <si>
    <t xml:space="preserve">Daihatsu Gran Max</t>
  </si>
  <si>
    <t xml:space="preserve">Mitsubishi L300</t>
  </si>
  <si>
    <t xml:space="preserve">Toyota Avanza</t>
  </si>
  <si>
    <t xml:space="preserve">Eko Prasetyo</t>
  </si>
  <si>
    <t xml:space="preserve">Cecep Sutisna</t>
  </si>
  <si>
    <t xml:space="preserve">Ahmad Fauzi</t>
  </si>
  <si>
    <t xml:space="preserve">Jumlah Perjalanan</t>
  </si>
  <si>
    <t xml:space="preserve">Total Biaya BBM</t>
  </si>
  <si>
    <t xml:space="preserve">Ringkasan: lembar jawaban soal berjenis ringkasan</t>
  </si>
  <si>
    <t xml:space="preserve">Sel hijau berisi rumus kunci.</t>
  </si>
  <si>
    <t xml:space="preserve">Pertanyaan</t>
  </si>
  <si>
    <t xml:space="preserve">Jawaban</t>
  </si>
  <si>
    <t xml:space="preserve">Contoh format hasil</t>
  </si>
  <si>
    <t xml:space="preserve">Total jarak tempuh (km)</t>
  </si>
  <si>
    <t xml:space="preserve">Angka bulat, mis. 3.400</t>
  </si>
  <si>
    <t xml:space="preserve">Total biaya BBM Oktober</t>
  </si>
  <si>
    <t xml:space="preserve">Rupiah, mis. Rp 4.500.000</t>
  </si>
  <si>
    <t xml:space="preserve">Rata-rata konsumsi BBM (km/liter)</t>
  </si>
  <si>
    <t xml:space="preserve">Desimal 2 angka, mis. 10,25</t>
  </si>
  <si>
    <t xml:space="preserve">11a</t>
  </si>
  <si>
    <t xml:space="preserve">Jumlah perjalanan berstatus Boros</t>
  </si>
  <si>
    <t xml:space="preserve">Angka bulat, mis. 14</t>
  </si>
  <si>
    <t xml:space="preserve">11b</t>
  </si>
  <si>
    <t xml:space="preserve">Jumlah perjalanan pada akhir pekan</t>
  </si>
  <si>
    <t xml:space="preserve">Tanggal perjalanan terjauh</t>
  </si>
  <si>
    <t xml:space="preserve">Tanggal, mis. 14/10/2026</t>
  </si>
  <si>
    <t xml:space="preserve">Kendaraan dengan total biaya BBM terbesar</t>
  </si>
  <si>
    <t xml:space="preserve">Teks: nama kendaraan</t>
  </si>
</sst>
</file>

<file path=xl/styles.xml><?xml version="1.0" encoding="utf-8"?>
<styleSheet xmlns="http://schemas.openxmlformats.org/spreadsheetml/2006/main">
  <numFmts count="7">
    <numFmt numFmtId="164" formatCode="General"/>
    <numFmt numFmtId="165" formatCode="0"/>
    <numFmt numFmtId="166" formatCode="dd/mm/yyyy"/>
    <numFmt numFmtId="167" formatCode="#,##0"/>
    <numFmt numFmtId="168" formatCode="&quot;Rp &quot;#,##0"/>
    <numFmt numFmtId="169" formatCode="0.0"/>
    <numFmt numFmtId="170" formatCode="0.00"/>
  </numFmts>
  <fonts count="14">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sz val="10"/>
      <color rgb="FF000000"/>
      <name val="Arial"/>
      <family val="0"/>
      <charset val="1"/>
    </font>
    <font>
      <sz val="10"/>
      <color rgb="FF0000FF"/>
      <name val="Arial"/>
      <family val="0"/>
      <charset val="1"/>
    </font>
    <font>
      <b val="true"/>
      <sz val="10"/>
      <color rgb="FFFFFFFF"/>
      <name val="Arial"/>
      <family val="0"/>
      <charset val="1"/>
    </font>
    <font>
      <sz val="9"/>
      <name val="Consolas"/>
      <family val="0"/>
      <charset val="1"/>
    </font>
    <font>
      <i val="true"/>
      <sz val="9"/>
      <color rgb="FF595959"/>
      <name val="Arial"/>
      <family val="0"/>
      <charset val="1"/>
    </font>
    <font>
      <b val="true"/>
      <sz val="13"/>
      <color rgb="FF1F4E3D"/>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5" fontId="7"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5" fontId="7" fillId="4" borderId="1" xfId="0" applyFont="true" applyBorder="true" applyAlignment="true" applyProtection="false">
      <alignment horizontal="right" vertical="center" textRotation="0" wrapText="false" indent="0" shrinkToFit="false"/>
      <protection locked="true" hidden="false"/>
    </xf>
    <xf numFmtId="168" fontId="7" fillId="4" borderId="1" xfId="0" applyFont="true" applyBorder="true" applyAlignment="true" applyProtection="false">
      <alignment horizontal="right" vertical="center" textRotation="0" wrapText="fals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70" fontId="7" fillId="4" borderId="1" xfId="0" applyFont="true" applyBorder="true" applyAlignment="true" applyProtection="false">
      <alignment horizontal="right"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0"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11" t="s">
        <v>17</v>
      </c>
    </row>
    <row r="19" customFormat="false" ht="15" hidden="false" customHeight="false" outlineLevel="0" collapsed="false">
      <c r="A19" s="3" t="s">
        <v>18</v>
      </c>
    </row>
    <row r="20" customFormat="false" ht="15" hidden="false" customHeight="false" outlineLevel="0" collapsed="false">
      <c r="A20" s="12" t="s">
        <v>19</v>
      </c>
      <c r="B20" s="12" t="s">
        <v>20</v>
      </c>
      <c r="C20" s="12" t="s">
        <v>21</v>
      </c>
      <c r="D20" s="12" t="s">
        <v>22</v>
      </c>
    </row>
    <row r="21" customFormat="false" ht="30" hidden="false" customHeight="true" outlineLevel="0" collapsed="false">
      <c r="A21" s="13" t="s">
        <v>23</v>
      </c>
      <c r="B21" s="14" t="s">
        <v>24</v>
      </c>
      <c r="C21" s="14" t="s">
        <v>25</v>
      </c>
      <c r="D21" s="15" t="s">
        <v>26</v>
      </c>
    </row>
    <row r="22" customFormat="false" ht="30" hidden="false" customHeight="true" outlineLevel="0" collapsed="false">
      <c r="A22" s="13" t="s">
        <v>27</v>
      </c>
      <c r="B22" s="14" t="s">
        <v>28</v>
      </c>
      <c r="C22" s="14" t="s">
        <v>29</v>
      </c>
      <c r="D22" s="15" t="s">
        <v>30</v>
      </c>
    </row>
    <row r="23" customFormat="false" ht="30" hidden="false" customHeight="true" outlineLevel="0" collapsed="false">
      <c r="A23" s="13" t="s">
        <v>31</v>
      </c>
      <c r="B23" s="14" t="s">
        <v>32</v>
      </c>
      <c r="C23" s="14" t="s">
        <v>33</v>
      </c>
      <c r="D23" s="15" t="s">
        <v>34</v>
      </c>
    </row>
    <row r="24" customFormat="false" ht="30" hidden="false" customHeight="true" outlineLevel="0" collapsed="false">
      <c r="A24" s="13" t="s">
        <v>35</v>
      </c>
      <c r="B24" s="14" t="s">
        <v>36</v>
      </c>
      <c r="C24" s="14" t="s">
        <v>37</v>
      </c>
      <c r="D24" s="15" t="s">
        <v>38</v>
      </c>
    </row>
    <row r="25" customFormat="false" ht="30" hidden="false" customHeight="true" outlineLevel="0" collapsed="false">
      <c r="A25" s="13" t="s">
        <v>39</v>
      </c>
      <c r="B25" s="14" t="s">
        <v>40</v>
      </c>
      <c r="C25" s="14" t="s">
        <v>41</v>
      </c>
      <c r="D25" s="15" t="s">
        <v>42</v>
      </c>
    </row>
    <row r="26" customFormat="false" ht="30" hidden="false" customHeight="true" outlineLevel="0" collapsed="false">
      <c r="A26" s="13" t="s">
        <v>43</v>
      </c>
      <c r="B26" s="14" t="s">
        <v>44</v>
      </c>
      <c r="C26" s="14" t="s">
        <v>45</v>
      </c>
      <c r="D26" s="15" t="s">
        <v>46</v>
      </c>
    </row>
    <row r="27" customFormat="false" ht="30" hidden="false" customHeight="true" outlineLevel="0" collapsed="false">
      <c r="A27" s="13" t="s">
        <v>47</v>
      </c>
      <c r="B27" s="14" t="s">
        <v>48</v>
      </c>
      <c r="C27" s="14" t="s">
        <v>49</v>
      </c>
      <c r="D27" s="15" t="s">
        <v>50</v>
      </c>
    </row>
    <row r="28" customFormat="false" ht="30" hidden="false" customHeight="true" outlineLevel="0" collapsed="false">
      <c r="A28" s="13" t="s">
        <v>51</v>
      </c>
      <c r="B28" s="14" t="s">
        <v>52</v>
      </c>
      <c r="C28" s="14" t="s">
        <v>53</v>
      </c>
      <c r="D28" s="15" t="s">
        <v>54</v>
      </c>
    </row>
    <row r="29" customFormat="false" ht="30" hidden="false" customHeight="true" outlineLevel="0" collapsed="false">
      <c r="A29" s="13" t="s">
        <v>55</v>
      </c>
      <c r="B29" s="14" t="s">
        <v>56</v>
      </c>
      <c r="C29" s="14" t="s">
        <v>57</v>
      </c>
      <c r="D29" s="15" t="s">
        <v>58</v>
      </c>
    </row>
    <row r="30" customFormat="false" ht="30" hidden="false" customHeight="true" outlineLevel="0" collapsed="false">
      <c r="A30" s="13" t="s">
        <v>59</v>
      </c>
      <c r="B30" s="14" t="s">
        <v>60</v>
      </c>
      <c r="C30" s="14" t="s">
        <v>61</v>
      </c>
      <c r="D30" s="15" t="s">
        <v>62</v>
      </c>
    </row>
    <row r="31" customFormat="false" ht="42" hidden="false" customHeight="true" outlineLevel="0" collapsed="false">
      <c r="A31" s="13" t="s">
        <v>63</v>
      </c>
      <c r="B31" s="14" t="s">
        <v>64</v>
      </c>
      <c r="C31" s="14" t="s">
        <v>65</v>
      </c>
      <c r="D31" s="15" t="s">
        <v>66</v>
      </c>
    </row>
    <row r="32" customFormat="false" ht="30" hidden="false" customHeight="true" outlineLevel="0" collapsed="false">
      <c r="A32" s="13" t="s">
        <v>67</v>
      </c>
      <c r="B32" s="14" t="s">
        <v>68</v>
      </c>
      <c r="C32" s="14" t="s">
        <v>69</v>
      </c>
      <c r="D32" s="15" t="s">
        <v>70</v>
      </c>
    </row>
    <row r="33" customFormat="false" ht="30" hidden="false" customHeight="true" outlineLevel="0" collapsed="false">
      <c r="A33" s="13" t="s">
        <v>71</v>
      </c>
      <c r="B33" s="14" t="s">
        <v>72</v>
      </c>
      <c r="C33" s="14" t="s">
        <v>73</v>
      </c>
      <c r="D33" s="15" t="s">
        <v>74</v>
      </c>
    </row>
    <row r="34" customFormat="false" ht="30" hidden="false" customHeight="true" outlineLevel="0" collapsed="false">
      <c r="A34" s="13" t="s">
        <v>75</v>
      </c>
      <c r="B34" s="14" t="s">
        <v>76</v>
      </c>
      <c r="C34" s="14" t="s">
        <v>77</v>
      </c>
      <c r="D34" s="15" t="s">
        <v>78</v>
      </c>
    </row>
    <row r="35" customFormat="false" ht="30" hidden="false" customHeight="true" outlineLevel="0" collapsed="false">
      <c r="A35" s="13" t="s">
        <v>79</v>
      </c>
      <c r="B35" s="14" t="s">
        <v>80</v>
      </c>
      <c r="C35" s="14" t="s">
        <v>81</v>
      </c>
      <c r="D35" s="15" t="s">
        <v>82</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0"/>
    <col collapsed="false" customWidth="true" hidden="false" outlineLevel="0" max="4" min="4" style="0" width="18"/>
    <col collapsed="false" customWidth="true" hidden="false" outlineLevel="0" max="8" min="5" style="0" width="11"/>
    <col collapsed="false" customWidth="true" hidden="false" outlineLevel="0" max="10" min="9" style="0" width="13"/>
    <col collapsed="false" customWidth="true" hidden="false" outlineLevel="0" max="11" min="11" style="0" width="12"/>
    <col collapsed="false" customWidth="true" hidden="false" outlineLevel="0" max="12" min="12" style="0" width="11"/>
    <col collapsed="false" customWidth="true" hidden="false" outlineLevel="0" max="14" min="13" style="0" width="13"/>
    <col collapsed="false" customWidth="true" hidden="false" outlineLevel="0" max="15" min="15" style="0" width="3"/>
    <col collapsed="false" customWidth="true" hidden="false" outlineLevel="0" max="16" min="16" style="0" width="30"/>
    <col collapsed="false" customWidth="true" hidden="false" outlineLevel="0" max="17" min="17" style="0" width="16"/>
    <col collapsed="false" customWidth="true" hidden="false" outlineLevel="0" max="18" min="18" style="0" width="42"/>
  </cols>
  <sheetData>
    <row r="1" customFormat="false" ht="33.75" hidden="false" customHeight="true" outlineLevel="0" collapsed="false">
      <c r="A1" s="12" t="s">
        <v>19</v>
      </c>
      <c r="B1" s="12" t="s">
        <v>83</v>
      </c>
      <c r="C1" s="12" t="s">
        <v>84</v>
      </c>
      <c r="D1" s="12" t="s">
        <v>85</v>
      </c>
      <c r="E1" s="12" t="s">
        <v>86</v>
      </c>
      <c r="F1" s="12" t="s">
        <v>87</v>
      </c>
      <c r="G1" s="12" t="s">
        <v>88</v>
      </c>
      <c r="H1" s="16" t="s">
        <v>89</v>
      </c>
      <c r="I1" s="16" t="s">
        <v>90</v>
      </c>
      <c r="J1" s="16" t="s">
        <v>91</v>
      </c>
      <c r="K1" s="16" t="s">
        <v>92</v>
      </c>
      <c r="L1" s="16" t="s">
        <v>93</v>
      </c>
      <c r="M1" s="16" t="s">
        <v>94</v>
      </c>
      <c r="N1" s="16" t="s">
        <v>95</v>
      </c>
      <c r="P1" s="17" t="s">
        <v>96</v>
      </c>
      <c r="Q1" s="17" t="s">
        <v>97</v>
      </c>
      <c r="R1" s="17" t="s">
        <v>98</v>
      </c>
    </row>
    <row r="2" customFormat="false" ht="15" hidden="false" customHeight="false" outlineLevel="0" collapsed="false">
      <c r="A2" s="18" t="n">
        <v>1</v>
      </c>
      <c r="B2" s="19" t="n">
        <v>46296</v>
      </c>
      <c r="C2" s="20" t="s">
        <v>99</v>
      </c>
      <c r="D2" s="20" t="s">
        <v>100</v>
      </c>
      <c r="E2" s="21" t="n">
        <v>28800</v>
      </c>
      <c r="F2" s="21" t="n">
        <v>28897</v>
      </c>
      <c r="G2" s="18" t="n">
        <v>8</v>
      </c>
      <c r="H2" s="22" t="n">
        <f aca="false">F2-E2</f>
        <v>97</v>
      </c>
      <c r="I2" s="23" t="n">
        <f aca="false">G2*$Q$2</f>
        <v>80000</v>
      </c>
      <c r="J2" s="24" t="n">
        <f aca="false">H2/G2</f>
        <v>12.125</v>
      </c>
      <c r="K2" s="22" t="n">
        <f aca="false">VLOOKUP(C2,Acuan!$A$2:$B$6,2,FALSE())</f>
        <v>14</v>
      </c>
      <c r="L2" s="25" t="str">
        <f aca="false">IF(J2&gt;=K2,"Efisien","Boros")</f>
        <v>Boros</v>
      </c>
      <c r="M2" s="25" t="str">
        <f aca="false">IF(WEEKDAY(B2,2)&gt;5,"Akhir Pekan","Hari Kerja")</f>
        <v>Hari Kerja</v>
      </c>
      <c r="N2" s="23" t="n">
        <f aca="false">I2/H2</f>
        <v>824.742268041237</v>
      </c>
      <c r="P2" s="26" t="s">
        <v>101</v>
      </c>
      <c r="Q2" s="27" t="n">
        <v>10000</v>
      </c>
      <c r="R2" s="28" t="s">
        <v>102</v>
      </c>
    </row>
    <row r="3" customFormat="false" ht="15" hidden="false" customHeight="false" outlineLevel="0" collapsed="false">
      <c r="A3" s="18" t="n">
        <v>2</v>
      </c>
      <c r="B3" s="19" t="n">
        <v>46297</v>
      </c>
      <c r="C3" s="20" t="s">
        <v>103</v>
      </c>
      <c r="D3" s="20" t="s">
        <v>104</v>
      </c>
      <c r="E3" s="21" t="n">
        <v>54900</v>
      </c>
      <c r="F3" s="21" t="n">
        <v>54988</v>
      </c>
      <c r="G3" s="18" t="n">
        <v>10</v>
      </c>
      <c r="H3" s="22" t="n">
        <f aca="false">F3-E3</f>
        <v>88</v>
      </c>
      <c r="I3" s="23" t="n">
        <f aca="false">G3*$Q$2</f>
        <v>100000</v>
      </c>
      <c r="J3" s="24" t="n">
        <f aca="false">H3/G3</f>
        <v>8.8</v>
      </c>
      <c r="K3" s="22" t="n">
        <f aca="false">VLOOKUP(C3,Acuan!$A$2:$B$6,2,FALSE())</f>
        <v>9</v>
      </c>
      <c r="L3" s="25" t="str">
        <f aca="false">IF(J3&gt;=K3,"Efisien","Boros")</f>
        <v>Boros</v>
      </c>
      <c r="M3" s="25" t="str">
        <f aca="false">IF(WEEKDAY(B3,2)&gt;5,"Akhir Pekan","Hari Kerja")</f>
        <v>Hari Kerja</v>
      </c>
      <c r="N3" s="23" t="n">
        <f aca="false">I3/H3</f>
        <v>1136.36363636364</v>
      </c>
    </row>
    <row r="4" customFormat="false" ht="15" hidden="false" customHeight="false" outlineLevel="0" collapsed="false">
      <c r="A4" s="18" t="n">
        <v>3</v>
      </c>
      <c r="B4" s="19" t="n">
        <v>46300</v>
      </c>
      <c r="C4" s="20" t="s">
        <v>99</v>
      </c>
      <c r="D4" s="20" t="s">
        <v>104</v>
      </c>
      <c r="E4" s="21" t="n">
        <v>28919</v>
      </c>
      <c r="F4" s="21" t="n">
        <v>28970</v>
      </c>
      <c r="G4" s="18" t="n">
        <v>3</v>
      </c>
      <c r="H4" s="22" t="n">
        <f aca="false">F4-E4</f>
        <v>51</v>
      </c>
      <c r="I4" s="23" t="n">
        <f aca="false">G4*$Q$2</f>
        <v>30000</v>
      </c>
      <c r="J4" s="24" t="n">
        <f aca="false">H4/G4</f>
        <v>17</v>
      </c>
      <c r="K4" s="22" t="n">
        <f aca="false">VLOOKUP(C4,Acuan!$A$2:$B$6,2,FALSE())</f>
        <v>14</v>
      </c>
      <c r="L4" s="25" t="str">
        <f aca="false">IF(J4&gt;=K4,"Efisien","Boros")</f>
        <v>Efisien</v>
      </c>
      <c r="M4" s="25" t="str">
        <f aca="false">IF(WEEKDAY(B4,2)&gt;5,"Akhir Pekan","Hari Kerja")</f>
        <v>Hari Kerja</v>
      </c>
      <c r="N4" s="23" t="n">
        <f aca="false">I4/H4</f>
        <v>588.235294117647</v>
      </c>
    </row>
    <row r="5" customFormat="false" ht="15" hidden="false" customHeight="false" outlineLevel="0" collapsed="false">
      <c r="A5" s="18" t="n">
        <v>4</v>
      </c>
      <c r="B5" s="19" t="n">
        <v>46302</v>
      </c>
      <c r="C5" s="20" t="s">
        <v>105</v>
      </c>
      <c r="D5" s="20" t="s">
        <v>104</v>
      </c>
      <c r="E5" s="21" t="n">
        <v>44800</v>
      </c>
      <c r="F5" s="21" t="n">
        <v>44928</v>
      </c>
      <c r="G5" s="18" t="n">
        <v>12</v>
      </c>
      <c r="H5" s="22" t="n">
        <f aca="false">F5-E5</f>
        <v>128</v>
      </c>
      <c r="I5" s="23" t="n">
        <f aca="false">G5*$Q$2</f>
        <v>120000</v>
      </c>
      <c r="J5" s="24" t="n">
        <f aca="false">H5/G5</f>
        <v>10.6666666666667</v>
      </c>
      <c r="K5" s="22" t="n">
        <f aca="false">VLOOKUP(C5,Acuan!$A$2:$B$6,2,FALSE())</f>
        <v>10</v>
      </c>
      <c r="L5" s="25" t="str">
        <f aca="false">IF(J5&gt;=K5,"Efisien","Boros")</f>
        <v>Efisien</v>
      </c>
      <c r="M5" s="25" t="str">
        <f aca="false">IF(WEEKDAY(B5,2)&gt;5,"Akhir Pekan","Hari Kerja")</f>
        <v>Hari Kerja</v>
      </c>
      <c r="N5" s="23" t="n">
        <f aca="false">I5/H5</f>
        <v>937.5</v>
      </c>
    </row>
    <row r="6" customFormat="false" ht="15" hidden="false" customHeight="false" outlineLevel="0" collapsed="false">
      <c r="A6" s="18" t="n">
        <v>5</v>
      </c>
      <c r="B6" s="19" t="n">
        <v>46302</v>
      </c>
      <c r="C6" s="20" t="s">
        <v>106</v>
      </c>
      <c r="D6" s="20" t="s">
        <v>100</v>
      </c>
      <c r="E6" s="21" t="n">
        <v>65200</v>
      </c>
      <c r="F6" s="21" t="n">
        <v>65325</v>
      </c>
      <c r="G6" s="18" t="n">
        <v>19</v>
      </c>
      <c r="H6" s="22" t="n">
        <f aca="false">F6-E6</f>
        <v>125</v>
      </c>
      <c r="I6" s="23" t="n">
        <f aca="false">G6*$Q$2</f>
        <v>190000</v>
      </c>
      <c r="J6" s="24" t="n">
        <f aca="false">H6/G6</f>
        <v>6.57894736842105</v>
      </c>
      <c r="K6" s="22" t="n">
        <f aca="false">VLOOKUP(C6,Acuan!$A$2:$B$6,2,FALSE())</f>
        <v>8</v>
      </c>
      <c r="L6" s="25" t="str">
        <f aca="false">IF(J6&gt;=K6,"Efisien","Boros")</f>
        <v>Boros</v>
      </c>
      <c r="M6" s="25" t="str">
        <f aca="false">IF(WEEKDAY(B6,2)&gt;5,"Akhir Pekan","Hari Kerja")</f>
        <v>Hari Kerja</v>
      </c>
      <c r="N6" s="23" t="n">
        <f aca="false">I6/H6</f>
        <v>1520</v>
      </c>
    </row>
    <row r="7" customFormat="false" ht="15" hidden="false" customHeight="false" outlineLevel="0" collapsed="false">
      <c r="A7" s="18" t="n">
        <v>6</v>
      </c>
      <c r="B7" s="19" t="n">
        <v>46302</v>
      </c>
      <c r="C7" s="20" t="s">
        <v>106</v>
      </c>
      <c r="D7" s="20" t="s">
        <v>104</v>
      </c>
      <c r="E7" s="21" t="n">
        <v>65329</v>
      </c>
      <c r="F7" s="21" t="n">
        <v>65365</v>
      </c>
      <c r="G7" s="18" t="n">
        <v>4</v>
      </c>
      <c r="H7" s="22" t="n">
        <f aca="false">F7-E7</f>
        <v>36</v>
      </c>
      <c r="I7" s="23" t="n">
        <f aca="false">G7*$Q$2</f>
        <v>40000</v>
      </c>
      <c r="J7" s="24" t="n">
        <f aca="false">H7/G7</f>
        <v>9</v>
      </c>
      <c r="K7" s="22" t="n">
        <f aca="false">VLOOKUP(C7,Acuan!$A$2:$B$6,2,FALSE())</f>
        <v>8</v>
      </c>
      <c r="L7" s="25" t="str">
        <f aca="false">IF(J7&gt;=K7,"Efisien","Boros")</f>
        <v>Efisien</v>
      </c>
      <c r="M7" s="25" t="str">
        <f aca="false">IF(WEEKDAY(B7,2)&gt;5,"Akhir Pekan","Hari Kerja")</f>
        <v>Hari Kerja</v>
      </c>
      <c r="N7" s="23" t="n">
        <f aca="false">I7/H7</f>
        <v>1111.11111111111</v>
      </c>
    </row>
    <row r="8" customFormat="false" ht="15" hidden="false" customHeight="false" outlineLevel="0" collapsed="false">
      <c r="A8" s="18" t="n">
        <v>7</v>
      </c>
      <c r="B8" s="19" t="n">
        <v>46302</v>
      </c>
      <c r="C8" s="20" t="s">
        <v>99</v>
      </c>
      <c r="D8" s="20" t="s">
        <v>100</v>
      </c>
      <c r="E8" s="21" t="n">
        <v>28991</v>
      </c>
      <c r="F8" s="21" t="n">
        <v>29109</v>
      </c>
      <c r="G8" s="18" t="n">
        <v>8</v>
      </c>
      <c r="H8" s="22" t="n">
        <f aca="false">F8-E8</f>
        <v>118</v>
      </c>
      <c r="I8" s="23" t="n">
        <f aca="false">G8*$Q$2</f>
        <v>80000</v>
      </c>
      <c r="J8" s="24" t="n">
        <f aca="false">H8/G8</f>
        <v>14.75</v>
      </c>
      <c r="K8" s="22" t="n">
        <f aca="false">VLOOKUP(C8,Acuan!$A$2:$B$6,2,FALSE())</f>
        <v>14</v>
      </c>
      <c r="L8" s="25" t="str">
        <f aca="false">IF(J8&gt;=K8,"Efisien","Boros")</f>
        <v>Efisien</v>
      </c>
      <c r="M8" s="25" t="str">
        <f aca="false">IF(WEEKDAY(B8,2)&gt;5,"Akhir Pekan","Hari Kerja")</f>
        <v>Hari Kerja</v>
      </c>
      <c r="N8" s="23" t="n">
        <f aca="false">I8/H8</f>
        <v>677.966101694915</v>
      </c>
    </row>
    <row r="9" customFormat="false" ht="15" hidden="false" customHeight="false" outlineLevel="0" collapsed="false">
      <c r="A9" s="18" t="n">
        <v>8</v>
      </c>
      <c r="B9" s="19" t="n">
        <v>46304</v>
      </c>
      <c r="C9" s="20" t="s">
        <v>103</v>
      </c>
      <c r="D9" s="20" t="s">
        <v>104</v>
      </c>
      <c r="E9" s="21" t="n">
        <v>55011</v>
      </c>
      <c r="F9" s="21" t="n">
        <v>55085</v>
      </c>
      <c r="G9" s="18" t="n">
        <v>8</v>
      </c>
      <c r="H9" s="22" t="n">
        <f aca="false">F9-E9</f>
        <v>74</v>
      </c>
      <c r="I9" s="23" t="n">
        <f aca="false">G9*$Q$2</f>
        <v>80000</v>
      </c>
      <c r="J9" s="24" t="n">
        <f aca="false">H9/G9</f>
        <v>9.25</v>
      </c>
      <c r="K9" s="22" t="n">
        <f aca="false">VLOOKUP(C9,Acuan!$A$2:$B$6,2,FALSE())</f>
        <v>9</v>
      </c>
      <c r="L9" s="25" t="str">
        <f aca="false">IF(J9&gt;=K9,"Efisien","Boros")</f>
        <v>Efisien</v>
      </c>
      <c r="M9" s="25" t="str">
        <f aca="false">IF(WEEKDAY(B9,2)&gt;5,"Akhir Pekan","Hari Kerja")</f>
        <v>Hari Kerja</v>
      </c>
      <c r="N9" s="23" t="n">
        <f aca="false">I9/H9</f>
        <v>1081.08108108108</v>
      </c>
    </row>
    <row r="10" customFormat="false" ht="15" hidden="false" customHeight="false" outlineLevel="0" collapsed="false">
      <c r="A10" s="18" t="n">
        <v>9</v>
      </c>
      <c r="B10" s="19" t="n">
        <v>46305</v>
      </c>
      <c r="C10" s="20" t="s">
        <v>107</v>
      </c>
      <c r="D10" s="20" t="s">
        <v>108</v>
      </c>
      <c r="E10" s="21" t="n">
        <v>70900</v>
      </c>
      <c r="F10" s="21" t="n">
        <v>70935</v>
      </c>
      <c r="G10" s="18" t="n">
        <v>3</v>
      </c>
      <c r="H10" s="22" t="n">
        <f aca="false">F10-E10</f>
        <v>35</v>
      </c>
      <c r="I10" s="23" t="n">
        <f aca="false">G10*$Q$2</f>
        <v>30000</v>
      </c>
      <c r="J10" s="24" t="n">
        <f aca="false">H10/G10</f>
        <v>11.6666666666667</v>
      </c>
      <c r="K10" s="22" t="n">
        <f aca="false">VLOOKUP(C10,Acuan!$A$2:$B$6,2,FALSE())</f>
        <v>11</v>
      </c>
      <c r="L10" s="25" t="str">
        <f aca="false">IF(J10&gt;=K10,"Efisien","Boros")</f>
        <v>Efisien</v>
      </c>
      <c r="M10" s="25" t="str">
        <f aca="false">IF(WEEKDAY(B10,2)&gt;5,"Akhir Pekan","Hari Kerja")</f>
        <v>Akhir Pekan</v>
      </c>
      <c r="N10" s="23" t="n">
        <f aca="false">I10/H10</f>
        <v>857.142857142857</v>
      </c>
    </row>
    <row r="11" customFormat="false" ht="15" hidden="false" customHeight="false" outlineLevel="0" collapsed="false">
      <c r="A11" s="18" t="n">
        <v>10</v>
      </c>
      <c r="B11" s="19" t="n">
        <v>46306</v>
      </c>
      <c r="C11" s="20" t="s">
        <v>105</v>
      </c>
      <c r="D11" s="20" t="s">
        <v>108</v>
      </c>
      <c r="E11" s="21" t="n">
        <v>44951</v>
      </c>
      <c r="F11" s="21" t="n">
        <v>45098</v>
      </c>
      <c r="G11" s="18" t="n">
        <v>16</v>
      </c>
      <c r="H11" s="22" t="n">
        <f aca="false">F11-E11</f>
        <v>147</v>
      </c>
      <c r="I11" s="23" t="n">
        <f aca="false">G11*$Q$2</f>
        <v>160000</v>
      </c>
      <c r="J11" s="24" t="n">
        <f aca="false">H11/G11</f>
        <v>9.1875</v>
      </c>
      <c r="K11" s="22" t="n">
        <f aca="false">VLOOKUP(C11,Acuan!$A$2:$B$6,2,FALSE())</f>
        <v>10</v>
      </c>
      <c r="L11" s="25" t="str">
        <f aca="false">IF(J11&gt;=K11,"Efisien","Boros")</f>
        <v>Boros</v>
      </c>
      <c r="M11" s="25" t="str">
        <f aca="false">IF(WEEKDAY(B11,2)&gt;5,"Akhir Pekan","Hari Kerja")</f>
        <v>Akhir Pekan</v>
      </c>
      <c r="N11" s="23" t="n">
        <f aca="false">I11/H11</f>
        <v>1088.43537414966</v>
      </c>
    </row>
    <row r="12" customFormat="false" ht="15" hidden="false" customHeight="false" outlineLevel="0" collapsed="false">
      <c r="A12" s="18" t="n">
        <v>11</v>
      </c>
      <c r="B12" s="19" t="n">
        <v>46306</v>
      </c>
      <c r="C12" s="20" t="s">
        <v>103</v>
      </c>
      <c r="D12" s="20" t="s">
        <v>109</v>
      </c>
      <c r="E12" s="21" t="n">
        <v>55111</v>
      </c>
      <c r="F12" s="21" t="n">
        <v>55242</v>
      </c>
      <c r="G12" s="18" t="n">
        <v>12</v>
      </c>
      <c r="H12" s="22" t="n">
        <f aca="false">F12-E12</f>
        <v>131</v>
      </c>
      <c r="I12" s="23" t="n">
        <f aca="false">G12*$Q$2</f>
        <v>120000</v>
      </c>
      <c r="J12" s="24" t="n">
        <f aca="false">H12/G12</f>
        <v>10.9166666666667</v>
      </c>
      <c r="K12" s="22" t="n">
        <f aca="false">VLOOKUP(C12,Acuan!$A$2:$B$6,2,FALSE())</f>
        <v>9</v>
      </c>
      <c r="L12" s="25" t="str">
        <f aca="false">IF(J12&gt;=K12,"Efisien","Boros")</f>
        <v>Efisien</v>
      </c>
      <c r="M12" s="25" t="str">
        <f aca="false">IF(WEEKDAY(B12,2)&gt;5,"Akhir Pekan","Hari Kerja")</f>
        <v>Akhir Pekan</v>
      </c>
      <c r="N12" s="23" t="n">
        <f aca="false">I12/H12</f>
        <v>916.030534351145</v>
      </c>
    </row>
    <row r="13" customFormat="false" ht="15" hidden="false" customHeight="false" outlineLevel="0" collapsed="false">
      <c r="A13" s="18" t="n">
        <v>12</v>
      </c>
      <c r="B13" s="19" t="n">
        <v>46307</v>
      </c>
      <c r="C13" s="20" t="s">
        <v>99</v>
      </c>
      <c r="D13" s="20" t="s">
        <v>100</v>
      </c>
      <c r="E13" s="21" t="n">
        <v>29122</v>
      </c>
      <c r="F13" s="21" t="n">
        <v>29268</v>
      </c>
      <c r="G13" s="18" t="n">
        <v>11</v>
      </c>
      <c r="H13" s="22" t="n">
        <f aca="false">F13-E13</f>
        <v>146</v>
      </c>
      <c r="I13" s="23" t="n">
        <f aca="false">G13*$Q$2</f>
        <v>110000</v>
      </c>
      <c r="J13" s="24" t="n">
        <f aca="false">H13/G13</f>
        <v>13.2727272727273</v>
      </c>
      <c r="K13" s="22" t="n">
        <f aca="false">VLOOKUP(C13,Acuan!$A$2:$B$6,2,FALSE())</f>
        <v>14</v>
      </c>
      <c r="L13" s="25" t="str">
        <f aca="false">IF(J13&gt;=K13,"Efisien","Boros")</f>
        <v>Boros</v>
      </c>
      <c r="M13" s="25" t="str">
        <f aca="false">IF(WEEKDAY(B13,2)&gt;5,"Akhir Pekan","Hari Kerja")</f>
        <v>Hari Kerja</v>
      </c>
      <c r="N13" s="23" t="n">
        <f aca="false">I13/H13</f>
        <v>753.424657534247</v>
      </c>
    </row>
    <row r="14" customFormat="false" ht="15" hidden="false" customHeight="false" outlineLevel="0" collapsed="false">
      <c r="A14" s="18" t="n">
        <v>13</v>
      </c>
      <c r="B14" s="19" t="n">
        <v>46308</v>
      </c>
      <c r="C14" s="20" t="s">
        <v>107</v>
      </c>
      <c r="D14" s="20" t="s">
        <v>109</v>
      </c>
      <c r="E14" s="21" t="n">
        <v>70941</v>
      </c>
      <c r="F14" s="21" t="n">
        <v>71106</v>
      </c>
      <c r="G14" s="18" t="n">
        <v>13</v>
      </c>
      <c r="H14" s="22" t="n">
        <f aca="false">F14-E14</f>
        <v>165</v>
      </c>
      <c r="I14" s="23" t="n">
        <f aca="false">G14*$Q$2</f>
        <v>130000</v>
      </c>
      <c r="J14" s="24" t="n">
        <f aca="false">H14/G14</f>
        <v>12.6923076923077</v>
      </c>
      <c r="K14" s="22" t="n">
        <f aca="false">VLOOKUP(C14,Acuan!$A$2:$B$6,2,FALSE())</f>
        <v>11</v>
      </c>
      <c r="L14" s="25" t="str">
        <f aca="false">IF(J14&gt;=K14,"Efisien","Boros")</f>
        <v>Efisien</v>
      </c>
      <c r="M14" s="25" t="str">
        <f aca="false">IF(WEEKDAY(B14,2)&gt;5,"Akhir Pekan","Hari Kerja")</f>
        <v>Hari Kerja</v>
      </c>
      <c r="N14" s="23" t="n">
        <f aca="false">I14/H14</f>
        <v>787.878787878788</v>
      </c>
    </row>
    <row r="15" customFormat="false" ht="15" hidden="false" customHeight="false" outlineLevel="0" collapsed="false">
      <c r="A15" s="18" t="n">
        <v>14</v>
      </c>
      <c r="B15" s="19" t="n">
        <v>46308</v>
      </c>
      <c r="C15" s="20" t="s">
        <v>107</v>
      </c>
      <c r="D15" s="20" t="s">
        <v>110</v>
      </c>
      <c r="E15" s="21" t="n">
        <v>71114</v>
      </c>
      <c r="F15" s="21" t="n">
        <v>71244</v>
      </c>
      <c r="G15" s="18" t="n">
        <v>15</v>
      </c>
      <c r="H15" s="22" t="n">
        <f aca="false">F15-E15</f>
        <v>130</v>
      </c>
      <c r="I15" s="23" t="n">
        <f aca="false">G15*$Q$2</f>
        <v>150000</v>
      </c>
      <c r="J15" s="24" t="n">
        <f aca="false">H15/G15</f>
        <v>8.66666666666667</v>
      </c>
      <c r="K15" s="22" t="n">
        <f aca="false">VLOOKUP(C15,Acuan!$A$2:$B$6,2,FALSE())</f>
        <v>11</v>
      </c>
      <c r="L15" s="25" t="str">
        <f aca="false">IF(J15&gt;=K15,"Efisien","Boros")</f>
        <v>Boros</v>
      </c>
      <c r="M15" s="25" t="str">
        <f aca="false">IF(WEEKDAY(B15,2)&gt;5,"Akhir Pekan","Hari Kerja")</f>
        <v>Hari Kerja</v>
      </c>
      <c r="N15" s="23" t="n">
        <f aca="false">I15/H15</f>
        <v>1153.84615384615</v>
      </c>
    </row>
    <row r="16" customFormat="false" ht="15" hidden="false" customHeight="false" outlineLevel="0" collapsed="false">
      <c r="A16" s="18" t="n">
        <v>15</v>
      </c>
      <c r="B16" s="19" t="n">
        <v>46308</v>
      </c>
      <c r="C16" s="20" t="s">
        <v>103</v>
      </c>
      <c r="D16" s="20" t="s">
        <v>104</v>
      </c>
      <c r="E16" s="21" t="n">
        <v>55256</v>
      </c>
      <c r="F16" s="21" t="n">
        <v>55394</v>
      </c>
      <c r="G16" s="18" t="n">
        <v>19</v>
      </c>
      <c r="H16" s="22" t="n">
        <f aca="false">F16-E16</f>
        <v>138</v>
      </c>
      <c r="I16" s="23" t="n">
        <f aca="false">G16*$Q$2</f>
        <v>190000</v>
      </c>
      <c r="J16" s="24" t="n">
        <f aca="false">H16/G16</f>
        <v>7.26315789473684</v>
      </c>
      <c r="K16" s="22" t="n">
        <f aca="false">VLOOKUP(C16,Acuan!$A$2:$B$6,2,FALSE())</f>
        <v>9</v>
      </c>
      <c r="L16" s="25" t="str">
        <f aca="false">IF(J16&gt;=K16,"Efisien","Boros")</f>
        <v>Boros</v>
      </c>
      <c r="M16" s="25" t="str">
        <f aca="false">IF(WEEKDAY(B16,2)&gt;5,"Akhir Pekan","Hari Kerja")</f>
        <v>Hari Kerja</v>
      </c>
      <c r="N16" s="23" t="n">
        <f aca="false">I16/H16</f>
        <v>1376.8115942029</v>
      </c>
    </row>
    <row r="17" customFormat="false" ht="15" hidden="false" customHeight="false" outlineLevel="0" collapsed="false">
      <c r="A17" s="18" t="n">
        <v>16</v>
      </c>
      <c r="B17" s="19" t="n">
        <v>46308</v>
      </c>
      <c r="C17" s="20" t="s">
        <v>105</v>
      </c>
      <c r="D17" s="20" t="s">
        <v>110</v>
      </c>
      <c r="E17" s="21" t="n">
        <v>45115</v>
      </c>
      <c r="F17" s="21" t="n">
        <v>45202</v>
      </c>
      <c r="G17" s="18" t="n">
        <v>9</v>
      </c>
      <c r="H17" s="22" t="n">
        <f aca="false">F17-E17</f>
        <v>87</v>
      </c>
      <c r="I17" s="23" t="n">
        <f aca="false">G17*$Q$2</f>
        <v>90000</v>
      </c>
      <c r="J17" s="24" t="n">
        <f aca="false">H17/G17</f>
        <v>9.66666666666667</v>
      </c>
      <c r="K17" s="22" t="n">
        <f aca="false">VLOOKUP(C17,Acuan!$A$2:$B$6,2,FALSE())</f>
        <v>10</v>
      </c>
      <c r="L17" s="25" t="str">
        <f aca="false">IF(J17&gt;=K17,"Efisien","Boros")</f>
        <v>Boros</v>
      </c>
      <c r="M17" s="25" t="str">
        <f aca="false">IF(WEEKDAY(B17,2)&gt;5,"Akhir Pekan","Hari Kerja")</f>
        <v>Hari Kerja</v>
      </c>
      <c r="N17" s="23" t="n">
        <f aca="false">I17/H17</f>
        <v>1034.48275862069</v>
      </c>
    </row>
    <row r="18" customFormat="false" ht="15" hidden="false" customHeight="false" outlineLevel="0" collapsed="false">
      <c r="A18" s="18" t="n">
        <v>17</v>
      </c>
      <c r="B18" s="19" t="n">
        <v>46309</v>
      </c>
      <c r="C18" s="20" t="s">
        <v>105</v>
      </c>
      <c r="D18" s="20" t="s">
        <v>108</v>
      </c>
      <c r="E18" s="21" t="n">
        <v>45210</v>
      </c>
      <c r="F18" s="21" t="n">
        <v>45361</v>
      </c>
      <c r="G18" s="18" t="n">
        <v>18</v>
      </c>
      <c r="H18" s="22" t="n">
        <f aca="false">F18-E18</f>
        <v>151</v>
      </c>
      <c r="I18" s="23" t="n">
        <f aca="false">G18*$Q$2</f>
        <v>180000</v>
      </c>
      <c r="J18" s="24" t="n">
        <f aca="false">H18/G18</f>
        <v>8.38888888888889</v>
      </c>
      <c r="K18" s="22" t="n">
        <f aca="false">VLOOKUP(C18,Acuan!$A$2:$B$6,2,FALSE())</f>
        <v>10</v>
      </c>
      <c r="L18" s="25" t="str">
        <f aca="false">IF(J18&gt;=K18,"Efisien","Boros")</f>
        <v>Boros</v>
      </c>
      <c r="M18" s="25" t="str">
        <f aca="false">IF(WEEKDAY(B18,2)&gt;5,"Akhir Pekan","Hari Kerja")</f>
        <v>Hari Kerja</v>
      </c>
      <c r="N18" s="23" t="n">
        <f aca="false">I18/H18</f>
        <v>1192.05298013245</v>
      </c>
    </row>
    <row r="19" customFormat="false" ht="15" hidden="false" customHeight="false" outlineLevel="0" collapsed="false">
      <c r="A19" s="18" t="n">
        <v>18</v>
      </c>
      <c r="B19" s="19" t="n">
        <v>46309</v>
      </c>
      <c r="C19" s="20" t="s">
        <v>105</v>
      </c>
      <c r="D19" s="20" t="s">
        <v>110</v>
      </c>
      <c r="E19" s="21" t="n">
        <v>45364</v>
      </c>
      <c r="F19" s="21" t="n">
        <v>45472</v>
      </c>
      <c r="G19" s="18" t="n">
        <v>11</v>
      </c>
      <c r="H19" s="22" t="n">
        <f aca="false">F19-E19</f>
        <v>108</v>
      </c>
      <c r="I19" s="23" t="n">
        <f aca="false">G19*$Q$2</f>
        <v>110000</v>
      </c>
      <c r="J19" s="24" t="n">
        <f aca="false">H19/G19</f>
        <v>9.81818181818182</v>
      </c>
      <c r="K19" s="22" t="n">
        <f aca="false">VLOOKUP(C19,Acuan!$A$2:$B$6,2,FALSE())</f>
        <v>10</v>
      </c>
      <c r="L19" s="25" t="str">
        <f aca="false">IF(J19&gt;=K19,"Efisien","Boros")</f>
        <v>Boros</v>
      </c>
      <c r="M19" s="25" t="str">
        <f aca="false">IF(WEEKDAY(B19,2)&gt;5,"Akhir Pekan","Hari Kerja")</f>
        <v>Hari Kerja</v>
      </c>
      <c r="N19" s="23" t="n">
        <f aca="false">I19/H19</f>
        <v>1018.51851851852</v>
      </c>
    </row>
    <row r="20" customFormat="false" ht="15" hidden="false" customHeight="false" outlineLevel="0" collapsed="false">
      <c r="A20" s="18" t="n">
        <v>19</v>
      </c>
      <c r="B20" s="19" t="n">
        <v>46310</v>
      </c>
      <c r="C20" s="20" t="s">
        <v>106</v>
      </c>
      <c r="D20" s="20" t="s">
        <v>100</v>
      </c>
      <c r="E20" s="21" t="n">
        <v>65390</v>
      </c>
      <c r="F20" s="21" t="n">
        <v>65529</v>
      </c>
      <c r="G20" s="18" t="n">
        <v>18</v>
      </c>
      <c r="H20" s="22" t="n">
        <f aca="false">F20-E20</f>
        <v>139</v>
      </c>
      <c r="I20" s="23" t="n">
        <f aca="false">G20*$Q$2</f>
        <v>180000</v>
      </c>
      <c r="J20" s="24" t="n">
        <f aca="false">H20/G20</f>
        <v>7.72222222222222</v>
      </c>
      <c r="K20" s="22" t="n">
        <f aca="false">VLOOKUP(C20,Acuan!$A$2:$B$6,2,FALSE())</f>
        <v>8</v>
      </c>
      <c r="L20" s="25" t="str">
        <f aca="false">IF(J20&gt;=K20,"Efisien","Boros")</f>
        <v>Boros</v>
      </c>
      <c r="M20" s="25" t="str">
        <f aca="false">IF(WEEKDAY(B20,2)&gt;5,"Akhir Pekan","Hari Kerja")</f>
        <v>Hari Kerja</v>
      </c>
      <c r="N20" s="23" t="n">
        <f aca="false">I20/H20</f>
        <v>1294.96402877698</v>
      </c>
    </row>
    <row r="21" customFormat="false" ht="15" hidden="false" customHeight="false" outlineLevel="0" collapsed="false">
      <c r="A21" s="18" t="n">
        <v>20</v>
      </c>
      <c r="B21" s="19" t="n">
        <v>46310</v>
      </c>
      <c r="C21" s="20" t="s">
        <v>99</v>
      </c>
      <c r="D21" s="20" t="s">
        <v>100</v>
      </c>
      <c r="E21" s="21" t="n">
        <v>29280</v>
      </c>
      <c r="F21" s="21" t="n">
        <v>29369</v>
      </c>
      <c r="G21" s="18" t="n">
        <v>6</v>
      </c>
      <c r="H21" s="22" t="n">
        <f aca="false">F21-E21</f>
        <v>89</v>
      </c>
      <c r="I21" s="23" t="n">
        <f aca="false">G21*$Q$2</f>
        <v>60000</v>
      </c>
      <c r="J21" s="24" t="n">
        <f aca="false">H21/G21</f>
        <v>14.8333333333333</v>
      </c>
      <c r="K21" s="22" t="n">
        <f aca="false">VLOOKUP(C21,Acuan!$A$2:$B$6,2,FALSE())</f>
        <v>14</v>
      </c>
      <c r="L21" s="25" t="str">
        <f aca="false">IF(J21&gt;=K21,"Efisien","Boros")</f>
        <v>Efisien</v>
      </c>
      <c r="M21" s="25" t="str">
        <f aca="false">IF(WEEKDAY(B21,2)&gt;5,"Akhir Pekan","Hari Kerja")</f>
        <v>Hari Kerja</v>
      </c>
      <c r="N21" s="23" t="n">
        <f aca="false">I21/H21</f>
        <v>674.157303370787</v>
      </c>
    </row>
    <row r="22" customFormat="false" ht="15" hidden="false" customHeight="false" outlineLevel="0" collapsed="false">
      <c r="A22" s="18" t="n">
        <v>21</v>
      </c>
      <c r="B22" s="19" t="n">
        <v>46310</v>
      </c>
      <c r="C22" s="20" t="s">
        <v>105</v>
      </c>
      <c r="D22" s="20" t="s">
        <v>104</v>
      </c>
      <c r="E22" s="21" t="n">
        <v>45483</v>
      </c>
      <c r="F22" s="21" t="n">
        <v>45531</v>
      </c>
      <c r="G22" s="18" t="n">
        <v>5</v>
      </c>
      <c r="H22" s="22" t="n">
        <f aca="false">F22-E22</f>
        <v>48</v>
      </c>
      <c r="I22" s="23" t="n">
        <f aca="false">G22*$Q$2</f>
        <v>50000</v>
      </c>
      <c r="J22" s="24" t="n">
        <f aca="false">H22/G22</f>
        <v>9.6</v>
      </c>
      <c r="K22" s="22" t="n">
        <f aca="false">VLOOKUP(C22,Acuan!$A$2:$B$6,2,FALSE())</f>
        <v>10</v>
      </c>
      <c r="L22" s="25" t="str">
        <f aca="false">IF(J22&gt;=K22,"Efisien","Boros")</f>
        <v>Boros</v>
      </c>
      <c r="M22" s="25" t="str">
        <f aca="false">IF(WEEKDAY(B22,2)&gt;5,"Akhir Pekan","Hari Kerja")</f>
        <v>Hari Kerja</v>
      </c>
      <c r="N22" s="23" t="n">
        <f aca="false">I22/H22</f>
        <v>1041.66666666667</v>
      </c>
    </row>
    <row r="23" customFormat="false" ht="15" hidden="false" customHeight="false" outlineLevel="0" collapsed="false">
      <c r="A23" s="18" t="n">
        <v>22</v>
      </c>
      <c r="B23" s="19" t="n">
        <v>46312</v>
      </c>
      <c r="C23" s="20" t="s">
        <v>105</v>
      </c>
      <c r="D23" s="20" t="s">
        <v>109</v>
      </c>
      <c r="E23" s="21" t="n">
        <v>45560</v>
      </c>
      <c r="F23" s="21" t="n">
        <v>45726</v>
      </c>
      <c r="G23" s="18" t="n">
        <v>14</v>
      </c>
      <c r="H23" s="22" t="n">
        <f aca="false">F23-E23</f>
        <v>166</v>
      </c>
      <c r="I23" s="23" t="n">
        <f aca="false">G23*$Q$2</f>
        <v>140000</v>
      </c>
      <c r="J23" s="24" t="n">
        <f aca="false">H23/G23</f>
        <v>11.8571428571429</v>
      </c>
      <c r="K23" s="22" t="n">
        <f aca="false">VLOOKUP(C23,Acuan!$A$2:$B$6,2,FALSE())</f>
        <v>10</v>
      </c>
      <c r="L23" s="25" t="str">
        <f aca="false">IF(J23&gt;=K23,"Efisien","Boros")</f>
        <v>Efisien</v>
      </c>
      <c r="M23" s="25" t="str">
        <f aca="false">IF(WEEKDAY(B23,2)&gt;5,"Akhir Pekan","Hari Kerja")</f>
        <v>Akhir Pekan</v>
      </c>
      <c r="N23" s="23" t="n">
        <f aca="false">I23/H23</f>
        <v>843.373493975904</v>
      </c>
    </row>
    <row r="24" customFormat="false" ht="15" hidden="false" customHeight="false" outlineLevel="0" collapsed="false">
      <c r="A24" s="18" t="n">
        <v>23</v>
      </c>
      <c r="B24" s="19" t="n">
        <v>46313</v>
      </c>
      <c r="C24" s="20" t="s">
        <v>103</v>
      </c>
      <c r="D24" s="20" t="s">
        <v>109</v>
      </c>
      <c r="E24" s="21" t="n">
        <v>55419</v>
      </c>
      <c r="F24" s="21" t="n">
        <v>55599</v>
      </c>
      <c r="G24" s="18" t="n">
        <v>22</v>
      </c>
      <c r="H24" s="22" t="n">
        <f aca="false">F24-E24</f>
        <v>180</v>
      </c>
      <c r="I24" s="23" t="n">
        <f aca="false">G24*$Q$2</f>
        <v>220000</v>
      </c>
      <c r="J24" s="24" t="n">
        <f aca="false">H24/G24</f>
        <v>8.18181818181818</v>
      </c>
      <c r="K24" s="22" t="n">
        <f aca="false">VLOOKUP(C24,Acuan!$A$2:$B$6,2,FALSE())</f>
        <v>9</v>
      </c>
      <c r="L24" s="25" t="str">
        <f aca="false">IF(J24&gt;=K24,"Efisien","Boros")</f>
        <v>Boros</v>
      </c>
      <c r="M24" s="25" t="str">
        <f aca="false">IF(WEEKDAY(B24,2)&gt;5,"Akhir Pekan","Hari Kerja")</f>
        <v>Akhir Pekan</v>
      </c>
      <c r="N24" s="23" t="n">
        <f aca="false">I24/H24</f>
        <v>1222.22222222222</v>
      </c>
    </row>
    <row r="25" customFormat="false" ht="15" hidden="false" customHeight="false" outlineLevel="0" collapsed="false">
      <c r="A25" s="18" t="n">
        <v>24</v>
      </c>
      <c r="B25" s="19" t="n">
        <v>46316</v>
      </c>
      <c r="C25" s="20" t="s">
        <v>105</v>
      </c>
      <c r="D25" s="20" t="s">
        <v>100</v>
      </c>
      <c r="E25" s="21" t="n">
        <v>45738</v>
      </c>
      <c r="F25" s="21" t="n">
        <v>45800</v>
      </c>
      <c r="G25" s="18" t="n">
        <v>8</v>
      </c>
      <c r="H25" s="22" t="n">
        <f aca="false">F25-E25</f>
        <v>62</v>
      </c>
      <c r="I25" s="23" t="n">
        <f aca="false">G25*$Q$2</f>
        <v>80000</v>
      </c>
      <c r="J25" s="24" t="n">
        <f aca="false">H25/G25</f>
        <v>7.75</v>
      </c>
      <c r="K25" s="22" t="n">
        <f aca="false">VLOOKUP(C25,Acuan!$A$2:$B$6,2,FALSE())</f>
        <v>10</v>
      </c>
      <c r="L25" s="25" t="str">
        <f aca="false">IF(J25&gt;=K25,"Efisien","Boros")</f>
        <v>Boros</v>
      </c>
      <c r="M25" s="25" t="str">
        <f aca="false">IF(WEEKDAY(B25,2)&gt;5,"Akhir Pekan","Hari Kerja")</f>
        <v>Hari Kerja</v>
      </c>
      <c r="N25" s="23" t="n">
        <f aca="false">I25/H25</f>
        <v>1290.32258064516</v>
      </c>
    </row>
    <row r="26" customFormat="false" ht="15" hidden="false" customHeight="false" outlineLevel="0" collapsed="false">
      <c r="A26" s="18" t="n">
        <v>25</v>
      </c>
      <c r="B26" s="19" t="n">
        <v>46316</v>
      </c>
      <c r="C26" s="20" t="s">
        <v>107</v>
      </c>
      <c r="D26" s="20" t="s">
        <v>108</v>
      </c>
      <c r="E26" s="21" t="n">
        <v>71245</v>
      </c>
      <c r="F26" s="21" t="n">
        <v>71408</v>
      </c>
      <c r="G26" s="18" t="n">
        <v>16</v>
      </c>
      <c r="H26" s="22" t="n">
        <f aca="false">F26-E26</f>
        <v>163</v>
      </c>
      <c r="I26" s="23" t="n">
        <f aca="false">G26*$Q$2</f>
        <v>160000</v>
      </c>
      <c r="J26" s="24" t="n">
        <f aca="false">H26/G26</f>
        <v>10.1875</v>
      </c>
      <c r="K26" s="22" t="n">
        <f aca="false">VLOOKUP(C26,Acuan!$A$2:$B$6,2,FALSE())</f>
        <v>11</v>
      </c>
      <c r="L26" s="25" t="str">
        <f aca="false">IF(J26&gt;=K26,"Efisien","Boros")</f>
        <v>Boros</v>
      </c>
      <c r="M26" s="25" t="str">
        <f aca="false">IF(WEEKDAY(B26,2)&gt;5,"Akhir Pekan","Hari Kerja")</f>
        <v>Hari Kerja</v>
      </c>
      <c r="N26" s="23" t="n">
        <f aca="false">I26/H26</f>
        <v>981.59509202454</v>
      </c>
    </row>
    <row r="27" customFormat="false" ht="15" hidden="false" customHeight="false" outlineLevel="0" collapsed="false">
      <c r="A27" s="18" t="n">
        <v>26</v>
      </c>
      <c r="B27" s="19" t="n">
        <v>46317</v>
      </c>
      <c r="C27" s="20" t="s">
        <v>103</v>
      </c>
      <c r="D27" s="20" t="s">
        <v>108</v>
      </c>
      <c r="E27" s="21" t="n">
        <v>55607</v>
      </c>
      <c r="F27" s="21" t="n">
        <v>55655</v>
      </c>
      <c r="G27" s="18" t="n">
        <v>5</v>
      </c>
      <c r="H27" s="22" t="n">
        <f aca="false">F27-E27</f>
        <v>48</v>
      </c>
      <c r="I27" s="23" t="n">
        <f aca="false">G27*$Q$2</f>
        <v>50000</v>
      </c>
      <c r="J27" s="24" t="n">
        <f aca="false">H27/G27</f>
        <v>9.6</v>
      </c>
      <c r="K27" s="22" t="n">
        <f aca="false">VLOOKUP(C27,Acuan!$A$2:$B$6,2,FALSE())</f>
        <v>9</v>
      </c>
      <c r="L27" s="25" t="str">
        <f aca="false">IF(J27&gt;=K27,"Efisien","Boros")</f>
        <v>Efisien</v>
      </c>
      <c r="M27" s="25" t="str">
        <f aca="false">IF(WEEKDAY(B27,2)&gt;5,"Akhir Pekan","Hari Kerja")</f>
        <v>Hari Kerja</v>
      </c>
      <c r="N27" s="23" t="n">
        <f aca="false">I27/H27</f>
        <v>1041.66666666667</v>
      </c>
    </row>
    <row r="28" customFormat="false" ht="15" hidden="false" customHeight="false" outlineLevel="0" collapsed="false">
      <c r="A28" s="18" t="n">
        <v>27</v>
      </c>
      <c r="B28" s="19" t="n">
        <v>46317</v>
      </c>
      <c r="C28" s="20" t="s">
        <v>106</v>
      </c>
      <c r="D28" s="20" t="s">
        <v>104</v>
      </c>
      <c r="E28" s="21" t="n">
        <v>65551</v>
      </c>
      <c r="F28" s="21" t="n">
        <v>65581</v>
      </c>
      <c r="G28" s="18" t="n">
        <v>3</v>
      </c>
      <c r="H28" s="22" t="n">
        <f aca="false">F28-E28</f>
        <v>30</v>
      </c>
      <c r="I28" s="23" t="n">
        <f aca="false">G28*$Q$2</f>
        <v>30000</v>
      </c>
      <c r="J28" s="24" t="n">
        <f aca="false">H28/G28</f>
        <v>10</v>
      </c>
      <c r="K28" s="22" t="n">
        <f aca="false">VLOOKUP(C28,Acuan!$A$2:$B$6,2,FALSE())</f>
        <v>8</v>
      </c>
      <c r="L28" s="25" t="str">
        <f aca="false">IF(J28&gt;=K28,"Efisien","Boros")</f>
        <v>Efisien</v>
      </c>
      <c r="M28" s="25" t="str">
        <f aca="false">IF(WEEKDAY(B28,2)&gt;5,"Akhir Pekan","Hari Kerja")</f>
        <v>Hari Kerja</v>
      </c>
      <c r="N28" s="23" t="n">
        <f aca="false">I28/H28</f>
        <v>1000</v>
      </c>
    </row>
    <row r="29" customFormat="false" ht="15" hidden="false" customHeight="false" outlineLevel="0" collapsed="false">
      <c r="A29" s="18" t="n">
        <v>28</v>
      </c>
      <c r="B29" s="19" t="n">
        <v>46318</v>
      </c>
      <c r="C29" s="20" t="s">
        <v>106</v>
      </c>
      <c r="D29" s="20" t="s">
        <v>100</v>
      </c>
      <c r="E29" s="21" t="n">
        <v>65587</v>
      </c>
      <c r="F29" s="21" t="n">
        <v>65618</v>
      </c>
      <c r="G29" s="18" t="n">
        <v>4</v>
      </c>
      <c r="H29" s="22" t="n">
        <f aca="false">F29-E29</f>
        <v>31</v>
      </c>
      <c r="I29" s="23" t="n">
        <f aca="false">G29*$Q$2</f>
        <v>40000</v>
      </c>
      <c r="J29" s="24" t="n">
        <f aca="false">H29/G29</f>
        <v>7.75</v>
      </c>
      <c r="K29" s="22" t="n">
        <f aca="false">VLOOKUP(C29,Acuan!$A$2:$B$6,2,FALSE())</f>
        <v>8</v>
      </c>
      <c r="L29" s="25" t="str">
        <f aca="false">IF(J29&gt;=K29,"Efisien","Boros")</f>
        <v>Boros</v>
      </c>
      <c r="M29" s="25" t="str">
        <f aca="false">IF(WEEKDAY(B29,2)&gt;5,"Akhir Pekan","Hari Kerja")</f>
        <v>Hari Kerja</v>
      </c>
      <c r="N29" s="23" t="n">
        <f aca="false">I29/H29</f>
        <v>1290.32258064516</v>
      </c>
    </row>
    <row r="30" customFormat="false" ht="15" hidden="false" customHeight="false" outlineLevel="0" collapsed="false">
      <c r="A30" s="18" t="n">
        <v>29</v>
      </c>
      <c r="B30" s="19" t="n">
        <v>46318</v>
      </c>
      <c r="C30" s="20" t="s">
        <v>99</v>
      </c>
      <c r="D30" s="20" t="s">
        <v>109</v>
      </c>
      <c r="E30" s="21" t="n">
        <v>29377</v>
      </c>
      <c r="F30" s="21" t="n">
        <v>29460</v>
      </c>
      <c r="G30" s="18" t="n">
        <v>5</v>
      </c>
      <c r="H30" s="22" t="n">
        <f aca="false">F30-E30</f>
        <v>83</v>
      </c>
      <c r="I30" s="23" t="n">
        <f aca="false">G30*$Q$2</f>
        <v>50000</v>
      </c>
      <c r="J30" s="24" t="n">
        <f aca="false">H30/G30</f>
        <v>16.6</v>
      </c>
      <c r="K30" s="22" t="n">
        <f aca="false">VLOOKUP(C30,Acuan!$A$2:$B$6,2,FALSE())</f>
        <v>14</v>
      </c>
      <c r="L30" s="25" t="str">
        <f aca="false">IF(J30&gt;=K30,"Efisien","Boros")</f>
        <v>Efisien</v>
      </c>
      <c r="M30" s="25" t="str">
        <f aca="false">IF(WEEKDAY(B30,2)&gt;5,"Akhir Pekan","Hari Kerja")</f>
        <v>Hari Kerja</v>
      </c>
      <c r="N30" s="23" t="n">
        <f aca="false">I30/H30</f>
        <v>602.409638554217</v>
      </c>
    </row>
    <row r="31" customFormat="false" ht="15" hidden="false" customHeight="false" outlineLevel="0" collapsed="false">
      <c r="A31" s="18" t="n">
        <v>30</v>
      </c>
      <c r="B31" s="19" t="n">
        <v>46318</v>
      </c>
      <c r="C31" s="20" t="s">
        <v>99</v>
      </c>
      <c r="D31" s="20" t="s">
        <v>110</v>
      </c>
      <c r="E31" s="21" t="n">
        <v>29467</v>
      </c>
      <c r="F31" s="21" t="n">
        <v>29509</v>
      </c>
      <c r="G31" s="18" t="n">
        <v>3</v>
      </c>
      <c r="H31" s="22" t="n">
        <f aca="false">F31-E31</f>
        <v>42</v>
      </c>
      <c r="I31" s="23" t="n">
        <f aca="false">G31*$Q$2</f>
        <v>30000</v>
      </c>
      <c r="J31" s="24" t="n">
        <f aca="false">H31/G31</f>
        <v>14</v>
      </c>
      <c r="K31" s="22" t="n">
        <f aca="false">VLOOKUP(C31,Acuan!$A$2:$B$6,2,FALSE())</f>
        <v>14</v>
      </c>
      <c r="L31" s="25" t="str">
        <f aca="false">IF(J31&gt;=K31,"Efisien","Boros")</f>
        <v>Efisien</v>
      </c>
      <c r="M31" s="25" t="str">
        <f aca="false">IF(WEEKDAY(B31,2)&gt;5,"Akhir Pekan","Hari Kerja")</f>
        <v>Hari Kerja</v>
      </c>
      <c r="N31" s="23" t="n">
        <f aca="false">I31/H31</f>
        <v>714.285714285714</v>
      </c>
    </row>
    <row r="32" customFormat="false" ht="15" hidden="false" customHeight="false" outlineLevel="0" collapsed="false">
      <c r="A32" s="18" t="n">
        <v>31</v>
      </c>
      <c r="B32" s="19" t="n">
        <v>46319</v>
      </c>
      <c r="C32" s="20" t="s">
        <v>106</v>
      </c>
      <c r="D32" s="20" t="s">
        <v>100</v>
      </c>
      <c r="E32" s="21" t="n">
        <v>65622</v>
      </c>
      <c r="F32" s="21" t="n">
        <v>65706</v>
      </c>
      <c r="G32" s="18" t="n">
        <v>11</v>
      </c>
      <c r="H32" s="22" t="n">
        <f aca="false">F32-E32</f>
        <v>84</v>
      </c>
      <c r="I32" s="23" t="n">
        <f aca="false">G32*$Q$2</f>
        <v>110000</v>
      </c>
      <c r="J32" s="24" t="n">
        <f aca="false">H32/G32</f>
        <v>7.63636363636364</v>
      </c>
      <c r="K32" s="22" t="n">
        <f aca="false">VLOOKUP(C32,Acuan!$A$2:$B$6,2,FALSE())</f>
        <v>8</v>
      </c>
      <c r="L32" s="25" t="str">
        <f aca="false">IF(J32&gt;=K32,"Efisien","Boros")</f>
        <v>Boros</v>
      </c>
      <c r="M32" s="25" t="str">
        <f aca="false">IF(WEEKDAY(B32,2)&gt;5,"Akhir Pekan","Hari Kerja")</f>
        <v>Akhir Pekan</v>
      </c>
      <c r="N32" s="23" t="n">
        <f aca="false">I32/H32</f>
        <v>1309.52380952381</v>
      </c>
    </row>
    <row r="33" customFormat="false" ht="15" hidden="false" customHeight="false" outlineLevel="0" collapsed="false">
      <c r="A33" s="18" t="n">
        <v>32</v>
      </c>
      <c r="B33" s="19" t="n">
        <v>46321</v>
      </c>
      <c r="C33" s="20" t="s">
        <v>107</v>
      </c>
      <c r="D33" s="20" t="s">
        <v>108</v>
      </c>
      <c r="E33" s="21" t="n">
        <v>71427</v>
      </c>
      <c r="F33" s="21" t="n">
        <v>71471</v>
      </c>
      <c r="G33" s="18" t="n">
        <v>4</v>
      </c>
      <c r="H33" s="22" t="n">
        <f aca="false">F33-E33</f>
        <v>44</v>
      </c>
      <c r="I33" s="23" t="n">
        <f aca="false">G33*$Q$2</f>
        <v>40000</v>
      </c>
      <c r="J33" s="24" t="n">
        <f aca="false">H33/G33</f>
        <v>11</v>
      </c>
      <c r="K33" s="22" t="n">
        <f aca="false">VLOOKUP(C33,Acuan!$A$2:$B$6,2,FALSE())</f>
        <v>11</v>
      </c>
      <c r="L33" s="25" t="str">
        <f aca="false">IF(J33&gt;=K33,"Efisien","Boros")</f>
        <v>Efisien</v>
      </c>
      <c r="M33" s="25" t="str">
        <f aca="false">IF(WEEKDAY(B33,2)&gt;5,"Akhir Pekan","Hari Kerja")</f>
        <v>Hari Kerja</v>
      </c>
      <c r="N33" s="23" t="n">
        <f aca="false">I33/H33</f>
        <v>909.090909090909</v>
      </c>
    </row>
    <row r="34" customFormat="false" ht="15" hidden="false" customHeight="false" outlineLevel="0" collapsed="false">
      <c r="A34" s="18" t="n">
        <v>33</v>
      </c>
      <c r="B34" s="19" t="n">
        <v>46323</v>
      </c>
      <c r="C34" s="20" t="s">
        <v>106</v>
      </c>
      <c r="D34" s="20" t="s">
        <v>110</v>
      </c>
      <c r="E34" s="21" t="n">
        <v>65724</v>
      </c>
      <c r="F34" s="21" t="n">
        <v>65767</v>
      </c>
      <c r="G34" s="18" t="n">
        <v>6</v>
      </c>
      <c r="H34" s="22" t="n">
        <f aca="false">F34-E34</f>
        <v>43</v>
      </c>
      <c r="I34" s="23" t="n">
        <f aca="false">G34*$Q$2</f>
        <v>60000</v>
      </c>
      <c r="J34" s="24" t="n">
        <f aca="false">H34/G34</f>
        <v>7.16666666666667</v>
      </c>
      <c r="K34" s="22" t="n">
        <f aca="false">VLOOKUP(C34,Acuan!$A$2:$B$6,2,FALSE())</f>
        <v>8</v>
      </c>
      <c r="L34" s="25" t="str">
        <f aca="false">IF(J34&gt;=K34,"Efisien","Boros")</f>
        <v>Boros</v>
      </c>
      <c r="M34" s="25" t="str">
        <f aca="false">IF(WEEKDAY(B34,2)&gt;5,"Akhir Pekan","Hari Kerja")</f>
        <v>Hari Kerja</v>
      </c>
      <c r="N34" s="23" t="n">
        <f aca="false">I34/H34</f>
        <v>1395.3488372093</v>
      </c>
    </row>
    <row r="35" customFormat="false" ht="15" hidden="false" customHeight="false" outlineLevel="0" collapsed="false">
      <c r="A35" s="18" t="n">
        <v>34</v>
      </c>
      <c r="B35" s="19" t="n">
        <v>46324</v>
      </c>
      <c r="C35" s="20" t="s">
        <v>107</v>
      </c>
      <c r="D35" s="20" t="s">
        <v>104</v>
      </c>
      <c r="E35" s="21" t="n">
        <v>71477</v>
      </c>
      <c r="F35" s="21" t="n">
        <v>71569</v>
      </c>
      <c r="G35" s="18" t="n">
        <v>7</v>
      </c>
      <c r="H35" s="22" t="n">
        <f aca="false">F35-E35</f>
        <v>92</v>
      </c>
      <c r="I35" s="23" t="n">
        <f aca="false">G35*$Q$2</f>
        <v>70000</v>
      </c>
      <c r="J35" s="24" t="n">
        <f aca="false">H35/G35</f>
        <v>13.1428571428571</v>
      </c>
      <c r="K35" s="22" t="n">
        <f aca="false">VLOOKUP(C35,Acuan!$A$2:$B$6,2,FALSE())</f>
        <v>11</v>
      </c>
      <c r="L35" s="25" t="str">
        <f aca="false">IF(J35&gt;=K35,"Efisien","Boros")</f>
        <v>Efisien</v>
      </c>
      <c r="M35" s="25" t="str">
        <f aca="false">IF(WEEKDAY(B35,2)&gt;5,"Akhir Pekan","Hari Kerja")</f>
        <v>Hari Kerja</v>
      </c>
      <c r="N35" s="23" t="n">
        <f aca="false">I35/H35</f>
        <v>760.869565217391</v>
      </c>
    </row>
    <row r="36" customFormat="false" ht="15" hidden="false" customHeight="false" outlineLevel="0" collapsed="false">
      <c r="A36" s="18" t="n">
        <v>35</v>
      </c>
      <c r="B36" s="19" t="n">
        <v>46325</v>
      </c>
      <c r="C36" s="20" t="s">
        <v>107</v>
      </c>
      <c r="D36" s="20" t="s">
        <v>104</v>
      </c>
      <c r="E36" s="21" t="n">
        <v>71599</v>
      </c>
      <c r="F36" s="21" t="n">
        <v>71655</v>
      </c>
      <c r="G36" s="18" t="n">
        <v>5</v>
      </c>
      <c r="H36" s="22" t="n">
        <f aca="false">F36-E36</f>
        <v>56</v>
      </c>
      <c r="I36" s="23" t="n">
        <f aca="false">G36*$Q$2</f>
        <v>50000</v>
      </c>
      <c r="J36" s="24" t="n">
        <f aca="false">H36/G36</f>
        <v>11.2</v>
      </c>
      <c r="K36" s="22" t="n">
        <f aca="false">VLOOKUP(C36,Acuan!$A$2:$B$6,2,FALSE())</f>
        <v>11</v>
      </c>
      <c r="L36" s="25" t="str">
        <f aca="false">IF(J36&gt;=K36,"Efisien","Boros")</f>
        <v>Efisien</v>
      </c>
      <c r="M36" s="25" t="str">
        <f aca="false">IF(WEEKDAY(B36,2)&gt;5,"Akhir Pekan","Hari Kerja")</f>
        <v>Hari Kerja</v>
      </c>
      <c r="N36" s="23" t="n">
        <f aca="false">I36/H36</f>
        <v>892.857142857143</v>
      </c>
    </row>
    <row r="37" customFormat="false" ht="15" hidden="false" customHeight="false" outlineLevel="0" collapsed="false">
      <c r="A37" s="18" t="n">
        <v>36</v>
      </c>
      <c r="B37" s="19" t="n">
        <v>46326</v>
      </c>
      <c r="C37" s="20" t="s">
        <v>106</v>
      </c>
      <c r="D37" s="20" t="s">
        <v>108</v>
      </c>
      <c r="E37" s="21" t="n">
        <v>65797</v>
      </c>
      <c r="F37" s="21" t="n">
        <v>65829</v>
      </c>
      <c r="G37" s="18" t="n">
        <v>3</v>
      </c>
      <c r="H37" s="22" t="n">
        <f aca="false">F37-E37</f>
        <v>32</v>
      </c>
      <c r="I37" s="23" t="n">
        <f aca="false">G37*$Q$2</f>
        <v>30000</v>
      </c>
      <c r="J37" s="24" t="n">
        <f aca="false">H37/G37</f>
        <v>10.6666666666667</v>
      </c>
      <c r="K37" s="22" t="n">
        <f aca="false">VLOOKUP(C37,Acuan!$A$2:$B$6,2,FALSE())</f>
        <v>8</v>
      </c>
      <c r="L37" s="25" t="str">
        <f aca="false">IF(J37&gt;=K37,"Efisien","Boros")</f>
        <v>Efisien</v>
      </c>
      <c r="M37" s="25" t="str">
        <f aca="false">IF(WEEKDAY(B37,2)&gt;5,"Akhir Pekan","Hari Kerja")</f>
        <v>Akhir Pekan</v>
      </c>
      <c r="N37" s="23" t="n">
        <f aca="false">I37/H37</f>
        <v>937.5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6"/>
    <col collapsed="false" customWidth="true" hidden="false" outlineLevel="0" max="3" min="3" style="0" width="14"/>
    <col collapsed="false" customWidth="true" hidden="false" outlineLevel="0" max="4" min="4" style="0" width="16"/>
  </cols>
  <sheetData>
    <row r="1" customFormat="false" ht="33.75" hidden="false" customHeight="true" outlineLevel="0" collapsed="false">
      <c r="A1" s="12" t="s">
        <v>84</v>
      </c>
      <c r="B1" s="12" t="s">
        <v>92</v>
      </c>
      <c r="C1" s="16" t="s">
        <v>111</v>
      </c>
      <c r="D1" s="16" t="s">
        <v>112</v>
      </c>
    </row>
    <row r="2" customFormat="false" ht="15" hidden="false" customHeight="false" outlineLevel="0" collapsed="false">
      <c r="A2" s="20" t="s">
        <v>107</v>
      </c>
      <c r="B2" s="18" t="n">
        <v>11</v>
      </c>
      <c r="C2" s="22" t="n">
        <f aca="false">COUNTIF(Data!$C$2:$C$37,A2)</f>
        <v>7</v>
      </c>
      <c r="D2" s="23" t="n">
        <f aca="false">SUMIF(Data!$C$2:$C$37,A2,Data!$I$2:$I$37)</f>
        <v>630000</v>
      </c>
    </row>
    <row r="3" customFormat="false" ht="15" hidden="false" customHeight="false" outlineLevel="0" collapsed="false">
      <c r="A3" s="20" t="s">
        <v>103</v>
      </c>
      <c r="B3" s="18" t="n">
        <v>9</v>
      </c>
      <c r="C3" s="22" t="n">
        <f aca="false">COUNTIF(Data!$C$2:$C$37,A3)</f>
        <v>6</v>
      </c>
      <c r="D3" s="23" t="n">
        <f aca="false">SUMIF(Data!$C$2:$C$37,A3,Data!$I$2:$I$37)</f>
        <v>760000</v>
      </c>
    </row>
    <row r="4" customFormat="false" ht="15" hidden="false" customHeight="false" outlineLevel="0" collapsed="false">
      <c r="A4" s="20" t="s">
        <v>105</v>
      </c>
      <c r="B4" s="18" t="n">
        <v>10</v>
      </c>
      <c r="C4" s="22" t="n">
        <f aca="false">COUNTIF(Data!$C$2:$C$37,A4)</f>
        <v>8</v>
      </c>
      <c r="D4" s="23" t="n">
        <f aca="false">SUMIF(Data!$C$2:$C$37,A4,Data!$I$2:$I$37)</f>
        <v>930000</v>
      </c>
    </row>
    <row r="5" customFormat="false" ht="15" hidden="false" customHeight="false" outlineLevel="0" collapsed="false">
      <c r="A5" s="20" t="s">
        <v>106</v>
      </c>
      <c r="B5" s="18" t="n">
        <v>8</v>
      </c>
      <c r="C5" s="22" t="n">
        <f aca="false">COUNTIF(Data!$C$2:$C$37,A5)</f>
        <v>8</v>
      </c>
      <c r="D5" s="23" t="n">
        <f aca="false">SUMIF(Data!$C$2:$C$37,A5,Data!$I$2:$I$37)</f>
        <v>680000</v>
      </c>
    </row>
    <row r="6" customFormat="false" ht="15" hidden="false" customHeight="false" outlineLevel="0" collapsed="false">
      <c r="A6" s="20" t="s">
        <v>99</v>
      </c>
      <c r="B6" s="18" t="n">
        <v>14</v>
      </c>
      <c r="C6" s="22" t="n">
        <f aca="false">COUNTIF(Data!$C$2:$C$37,A6)</f>
        <v>7</v>
      </c>
      <c r="D6" s="23" t="n">
        <f aca="false">SUMIF(Data!$C$2:$C$37,A6,Data!$I$2:$I$37)</f>
        <v>440000</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9" t="s">
        <v>113</v>
      </c>
      <c r="B1" s="29"/>
      <c r="C1" s="29"/>
      <c r="D1" s="29"/>
    </row>
    <row r="2" customFormat="false" ht="15" hidden="false" customHeight="false" outlineLevel="0" collapsed="false">
      <c r="A2" s="30" t="s">
        <v>114</v>
      </c>
      <c r="B2" s="30"/>
      <c r="C2" s="30"/>
      <c r="D2" s="30"/>
    </row>
    <row r="3" customFormat="false" ht="15" hidden="false" customHeight="false" outlineLevel="0" collapsed="false">
      <c r="A3" s="12" t="s">
        <v>19</v>
      </c>
      <c r="B3" s="12" t="s">
        <v>115</v>
      </c>
      <c r="C3" s="12" t="s">
        <v>116</v>
      </c>
      <c r="D3" s="12" t="s">
        <v>117</v>
      </c>
    </row>
    <row r="4" customFormat="false" ht="19.5" hidden="false" customHeight="true" outlineLevel="0" collapsed="false">
      <c r="A4" s="31" t="s">
        <v>51</v>
      </c>
      <c r="B4" s="32" t="s">
        <v>118</v>
      </c>
      <c r="C4" s="33" t="n">
        <f aca="false">SUM(Data!$H$2:$H$37)</f>
        <v>3387</v>
      </c>
      <c r="D4" s="28" t="s">
        <v>119</v>
      </c>
    </row>
    <row r="5" customFormat="false" ht="19.5" hidden="false" customHeight="true" outlineLevel="0" collapsed="false">
      <c r="A5" s="31" t="s">
        <v>55</v>
      </c>
      <c r="B5" s="32" t="s">
        <v>120</v>
      </c>
      <c r="C5" s="23" t="n">
        <f aca="false">SUM(Data!$I$2:$I$37)</f>
        <v>3440000</v>
      </c>
      <c r="D5" s="28" t="s">
        <v>121</v>
      </c>
    </row>
    <row r="6" customFormat="false" ht="19.5" hidden="false" customHeight="true" outlineLevel="0" collapsed="false">
      <c r="A6" s="31" t="s">
        <v>59</v>
      </c>
      <c r="B6" s="32" t="s">
        <v>122</v>
      </c>
      <c r="C6" s="34" t="n">
        <f aca="false">AVERAGE(Data!$J$2:$J$37)</f>
        <v>10.5167948604352</v>
      </c>
      <c r="D6" s="28" t="s">
        <v>123</v>
      </c>
    </row>
    <row r="7" customFormat="false" ht="19.5" hidden="false" customHeight="true" outlineLevel="0" collapsed="false">
      <c r="A7" s="31" t="s">
        <v>124</v>
      </c>
      <c r="B7" s="32" t="s">
        <v>125</v>
      </c>
      <c r="C7" s="22" t="n">
        <f aca="false">COUNTIF(Data!$L$2:$L$37,"Boros")</f>
        <v>18</v>
      </c>
      <c r="D7" s="28" t="s">
        <v>126</v>
      </c>
    </row>
    <row r="8" customFormat="false" ht="19.5" hidden="false" customHeight="true" outlineLevel="0" collapsed="false">
      <c r="A8" s="31" t="s">
        <v>127</v>
      </c>
      <c r="B8" s="32" t="s">
        <v>128</v>
      </c>
      <c r="C8" s="22" t="n">
        <f aca="false">COUNTIF(Data!$M$2:$M$37,"Akhir Pekan")</f>
        <v>7</v>
      </c>
      <c r="D8" s="28" t="s">
        <v>126</v>
      </c>
    </row>
    <row r="9" customFormat="false" ht="19.5" hidden="false" customHeight="true" outlineLevel="0" collapsed="false">
      <c r="A9" s="31" t="s">
        <v>67</v>
      </c>
      <c r="B9" s="32" t="s">
        <v>129</v>
      </c>
      <c r="C9" s="35" t="n">
        <f aca="false">INDEX(Data!$B$2:$B$37,MATCH(MAX(Data!$H$2:$H$37),Data!$H$2:$H$37,0))</f>
        <v>46313</v>
      </c>
      <c r="D9" s="28" t="s">
        <v>130</v>
      </c>
    </row>
    <row r="10" customFormat="false" ht="19.5" hidden="false" customHeight="true" outlineLevel="0" collapsed="false">
      <c r="A10" s="31" t="s">
        <v>79</v>
      </c>
      <c r="B10" s="32" t="s">
        <v>131</v>
      </c>
      <c r="C10" s="25" t="str">
        <f aca="false">INDEX(Acuan!$A$2:$A$6,MATCH(MAX(Acuan!$D$2:$D$6),Acuan!$D$2:$D$6,0))</f>
        <v>Daihatsu Gran Max</v>
      </c>
      <c r="D10" s="28" t="s">
        <v>132</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2026-10-10T06:49:17Z</dcterms:created>
  <dc:creator>PushExcel</dc:creator>
  <dc:description/>
  <dc:language>en-US</dc:language>
  <cp:lastModifiedBy/>
  <dcterms:modified xsi:type="dcterms:W3CDTF">2026-10-10T06:49:17Z</dcterms:modified>
  <cp:revision>0</cp:revision>
  <dc:subject/>
  <dc:title>Log Kendaraan Operasional dan BBM - Kunci</dc:title>
</cp:coreProperties>
</file>

<file path=docProps/custom.xml><?xml version="1.0" encoding="utf-8"?>
<Properties xmlns="http://schemas.openxmlformats.org/officeDocument/2006/custom-properties" xmlns:vt="http://schemas.openxmlformats.org/officeDocument/2006/docPropsVTypes"/>
</file>