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<sst xmlns="http://schemas.openxmlformats.org/spreadsheetml/2006/main" count="179" uniqueCount="141">
  <si>
    <t xml:space="preserve">Kunci Jawaban: Iuran Bulanan Warga RT</t>
  </si>
  <si>
    <t xml:space="preserve">Latihan 24 dari 24  |  Tingkat: Pemula  |  Perkiraan waktu: 40 menit  |  pushexcel.github.io/Pushexcel</t>
  </si>
  <si>
    <t xml:space="preserve">Skenario</t>
  </si>
  <si>
    <t xml:space="preserve">Kamu bendahara RT 05 Perumahan Griya Asri. Iuran keamanan dan kebersihan Rp 50.000 per keluarga per bulan. Untuk Januari sampai Juni 2026 kamu merekap pembayaran 30 keluarga di tiga blok. Sebagian keluarga membayar penuh, sebagian membayar sebagian (Rp 25.000), dan sebagian belum membayar (0).</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</si>
  <si>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</si>
  <si>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</si>
  <si>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</si>
  <si>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</si>
  <si>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</si>
  <si>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</si>
  <si>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</si>
  <si>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</si>
  <si>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</si>
  <si>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</si>
  <si>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</si>
  <si>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</si>
  <si>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</si>
  <si>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</si>
  <si>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</si>
  <si>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</si>
  <si>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</si>
  <si>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</si>
  <si>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</si>
  <si>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</si>
  <si>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berapa bulan yang dibayar penuh (sama dengan iuran per bulan) dari Januari sampai Juni.</t>
  </si>
  <si>
    <t xml:space="preserve">Sheet Data, kolom J (Bulan Terbayar Penuh), baris 2 sampai 31</t>
  </si>
  <si>
    <t xml:space="preserve">=COUNTIF(D2:I2;$P$2)</t>
  </si>
  <si>
    <t xml:space="preserve">2</t>
  </si>
  <si>
    <t xml:space="preserve">Hitung total yang sudah dibayar keluarga itu dalam 6 bulan.</t>
  </si>
  <si>
    <t xml:space="preserve">Sheet Data, kolom K (Total Dibayar), baris 2 sampai 31</t>
  </si>
  <si>
    <t xml:space="preserve">=SUM(D2:I2)</t>
  </si>
  <si>
    <t xml:space="preserve">3</t>
  </si>
  <si>
    <t xml:space="preserve">Hitung tunggakan: (iuran per bulan x jumlah bulan) dikurangi total dibayar.</t>
  </si>
  <si>
    <t xml:space="preserve">Sheet Data, kolom L (Tunggakan), baris 2 sampai 31</t>
  </si>
  <si>
    <t xml:space="preserve">=$P$2*$P$3-K2</t>
  </si>
  <si>
    <t xml:space="preserve">4</t>
  </si>
  <si>
    <t xml:space="preserve">Status Lunas bila tunggakan 0 atau kurang. Menunggak 1-2 Bulan bila tunggakan paling banyak 2 kali iuran. Selain itu Menunggak 3+ Bulan.</t>
  </si>
  <si>
    <t xml:space="preserve">Sheet Data, kolom M (Status), baris 2 sampai 31</t>
  </si>
  <si>
    <t xml:space="preserve">=IF(L2&lt;=0;"Lunas";IF(L2&lt;=$P$2*2;"Menunggak 1-2 Bulan";"Menunggak 3+ Bulan"))</t>
  </si>
  <si>
    <t xml:space="preserve">5</t>
  </si>
  <si>
    <t xml:space="preserve">Berapa total iuran yang terkumpul, dan berapa total tunggakan seluruh keluarga?</t>
  </si>
  <si>
    <t xml:space="preserve">Sheet Ringkasan, sel C4 sampai C5</t>
  </si>
  <si>
    <t xml:space="preserve">=SUM(Data!$K$2:$K$31)
=SUM(Data!$L$2:$L$31)</t>
  </si>
  <si>
    <t xml:space="preserve">6</t>
  </si>
  <si>
    <t xml:space="preserve">Berapa persen iuran yang terkumpul dari seluruh iuran yang seharusnya diterima?</t>
  </si>
  <si>
    <t xml:space="preserve">Sheet Ringkasan, sel C6</t>
  </si>
  <si>
    <t xml:space="preserve">=SUM(Data!$K$2:$K$31)/(Data!$P$2*Data!$P$3*COUNTA(Data!$B$2:$B$31))</t>
  </si>
  <si>
    <t xml:space="preserve">7</t>
  </si>
  <si>
    <t xml:space="preserve">Berapa keluarga untuk tiap status: Lunas, Menunggak 1-2 Bulan, dan Menunggak 3+ Bulan? Jumlah ketiganya harus 30.</t>
  </si>
  <si>
    <t xml:space="preserve">Sheet Ringkasan, sel C7 sampai C9</t>
  </si>
  <si>
    <t xml:space="preserve">=COUNTIF(Data!$M$2:$M$31;"Lunas")
=COUNTIF(Data!$M$2:$M$31;"Menunggak 1-2 Bulan")
=COUNTIF(Data!$M$2:$M$31;"Menunggak 3+ Bulan")</t>
  </si>
  <si>
    <t xml:space="preserve">8</t>
  </si>
  <si>
    <t xml:space="preserve">Pada sheet Acuan, hitung jumlah keluarga tiap blok.</t>
  </si>
  <si>
    <t xml:space="preserve">Sheet Acuan, kolom B (Jumlah Keluarga), baris 2 sampai 4</t>
  </si>
  <si>
    <t xml:space="preserve">=COUNTIF(Data!$C$2:$C$31;A2)</t>
  </si>
  <si>
    <t xml:space="preserve">9</t>
  </si>
  <si>
    <t xml:space="preserve">Pada sheet Acuan, hitung total iuran terkumpul tiap blok.</t>
  </si>
  <si>
    <t xml:space="preserve">Sheet Acuan, kolom C (Total Terkumpul), baris 2 sampai 4</t>
  </si>
  <si>
    <t xml:space="preserve">=SUMIF(Data!$C$2:$C$31;A2;Data!$K$2:$K$31)</t>
  </si>
  <si>
    <t xml:space="preserve">10</t>
  </si>
  <si>
    <t xml:space="preserve">Pada sheet Acuan, hitung total tunggakan tiap blok.</t>
  </si>
  <si>
    <t xml:space="preserve">Sheet Acuan, kolom D (Total Tunggakan), baris 2 sampai 4</t>
  </si>
  <si>
    <t xml:space="preserve">=SUMIF(Data!$C$2:$C$31;A2;Data!$L$2:$L$31)</t>
  </si>
  <si>
    <t xml:space="preserve">11</t>
  </si>
  <si>
    <t xml:space="preserve">Blok mana yang total tunggakannya paling besar?</t>
  </si>
  <si>
    <t xml:space="preserve">Sheet Ringkasan, sel C10</t>
  </si>
  <si>
    <t xml:space="preserve">=INDEX(Acuan!$A$2:$A$4;MATCH(MAX(Acuan!$D$2:$D$4);Acuan!$D$2:$D$4;0))</t>
  </si>
  <si>
    <t xml:space="preserve">Kepala Keluarga</t>
  </si>
  <si>
    <t xml:space="preserve">Blok</t>
  </si>
  <si>
    <t xml:space="preserve">Jan</t>
  </si>
  <si>
    <t xml:space="preserve">Feb</t>
  </si>
  <si>
    <t xml:space="preserve">Mar</t>
  </si>
  <si>
    <t xml:space="preserve">Apr</t>
  </si>
  <si>
    <t xml:space="preserve">Mei</t>
  </si>
  <si>
    <t xml:space="preserve">Jun</t>
  </si>
  <si>
    <t xml:space="preserve">Bulan Terbayar Penuh</t>
  </si>
  <si>
    <t xml:space="preserve">Total Dibayar</t>
  </si>
  <si>
    <t xml:space="preserve">Tunggakan</t>
  </si>
  <si>
    <t xml:space="preserve">Status</t>
  </si>
  <si>
    <t xml:space="preserve">Parameter</t>
  </si>
  <si>
    <t xml:space="preserve">Nilai</t>
  </si>
  <si>
    <t xml:space="preserve">Keterangan</t>
  </si>
  <si>
    <t xml:space="preserve">Vina Kurniawan</t>
  </si>
  <si>
    <t xml:space="preserve">B</t>
  </si>
  <si>
    <t xml:space="preserve">Iuran per bulan</t>
  </si>
  <si>
    <t xml:space="preserve">Zahra Firmansyah</t>
  </si>
  <si>
    <t xml:space="preserve">Jumlah bulan yang direkap</t>
  </si>
  <si>
    <t xml:space="preserve">Fajar Handayani</t>
  </si>
  <si>
    <t xml:space="preserve">A</t>
  </si>
  <si>
    <t xml:space="preserve">Intan Susanto</t>
  </si>
  <si>
    <t xml:space="preserve">Agus Ramadhan</t>
  </si>
  <si>
    <t xml:space="preserve">C</t>
  </si>
  <si>
    <t xml:space="preserve">Fajar Hidayat</t>
  </si>
  <si>
    <t xml:space="preserve">Ahmad Purnomo</t>
  </si>
  <si>
    <t xml:space="preserve">Indra Ramadhan</t>
  </si>
  <si>
    <t xml:space="preserve">Dewi Utomo</t>
  </si>
  <si>
    <t xml:space="preserve">Maya Setiawan</t>
  </si>
  <si>
    <t xml:space="preserve">Mulyadi Rahayu</t>
  </si>
  <si>
    <t xml:space="preserve">Eko Maulana</t>
  </si>
  <si>
    <t xml:space="preserve">Agus Pratama</t>
  </si>
  <si>
    <t xml:space="preserve">Ayu Permana</t>
  </si>
  <si>
    <t xml:space="preserve">Hana Santoso</t>
  </si>
  <si>
    <t xml:space="preserve">Hendra Pratama</t>
  </si>
  <si>
    <t xml:space="preserve">Hendra Syahputra</t>
  </si>
  <si>
    <t xml:space="preserve">Teguh Ramadhan</t>
  </si>
  <si>
    <t xml:space="preserve">Siti Anggraini</t>
  </si>
  <si>
    <t xml:space="preserve">Gita Santoso</t>
  </si>
  <si>
    <t xml:space="preserve">Edi Maulana</t>
  </si>
  <si>
    <t xml:space="preserve">Edi Kurniawan</t>
  </si>
  <si>
    <t xml:space="preserve">Lukman Maulana</t>
  </si>
  <si>
    <t xml:space="preserve">Taufik Anggraini</t>
  </si>
  <si>
    <t xml:space="preserve">Nurul Wibowo</t>
  </si>
  <si>
    <t xml:space="preserve">Rahmat Hidayat</t>
  </si>
  <si>
    <t xml:space="preserve">Anwar Firmansyah</t>
  </si>
  <si>
    <t xml:space="preserve">Jamal Setiawan</t>
  </si>
  <si>
    <t xml:space="preserve">Dewi Ramadhan</t>
  </si>
  <si>
    <t xml:space="preserve">Mulyadi Saputra</t>
  </si>
  <si>
    <t xml:space="preserve">Jumlah Keluarga</t>
  </si>
  <si>
    <t xml:space="preserve">Total Terkumpul</t>
  </si>
  <si>
    <t xml:space="preserve">Total Tunggakan</t>
  </si>
  <si>
    <t xml:space="preserve">Ringkasan: lembar jawaban soal berjenis ringkasan</t>
  </si>
  <si>
    <t xml:space="preserve">Sel hijau berisi rumus kunci.</t>
  </si>
  <si>
    <t xml:space="preserve">Pertanyaan</t>
  </si>
  <si>
    <t xml:space="preserve">Jawaban</t>
  </si>
  <si>
    <t xml:space="preserve">Contoh format hasil</t>
  </si>
  <si>
    <t xml:space="preserve">5a</t>
  </si>
  <si>
    <t xml:space="preserve">Total iuran terkumpul</t>
  </si>
  <si>
    <t xml:space="preserve">Rupiah, mis. Rp 6.500.000</t>
  </si>
  <si>
    <t xml:space="preserve">5b</t>
  </si>
  <si>
    <t xml:space="preserve">Total tunggakan seluruh keluarga</t>
  </si>
  <si>
    <t xml:space="preserve">Persentase iuran terkumpul</t>
  </si>
  <si>
    <t xml:space="preserve">Persen, mis. 72,0%</t>
  </si>
  <si>
    <t xml:space="preserve">7a</t>
  </si>
  <si>
    <t xml:space="preserve">Jumlah keluarga Lunas</t>
  </si>
  <si>
    <t xml:space="preserve">Angka bulat, mis. 10</t>
  </si>
  <si>
    <t xml:space="preserve">7b</t>
  </si>
  <si>
    <t xml:space="preserve">Jumlah keluarga Menunggak 1-2 Bulan</t>
  </si>
  <si>
    <t xml:space="preserve">7c</t>
  </si>
  <si>
    <t xml:space="preserve">Jumlah keluarga Menunggak 3+ Bulan</t>
  </si>
  <si>
    <t xml:space="preserve">Blok dengan tunggakan terbesar</t>
  </si>
  <si>
    <t xml:space="preserve">Teks: nama blok</t>
  </si>
</sst>
</file>

<file path=xl/styles.xml><?xml version="1.0" encoding="utf-8"?>
<styleSheet xmlns="http://schemas.openxmlformats.org/spreadsheetml/2006/main">
  <numFmts count="4">
    <numFmt numFmtId="164" formatCode="General"/>
    <numFmt numFmtId="165" formatCode="0"/>
    <numFmt numFmtId="166" formatCode="&quot;Rp &quot;#,##0"/>
    <numFmt numFmtId="167" formatCode="0.0%"/>
  </numFmts>
  <fonts count="14">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sz val="10"/>
      <color rgb="FF000000"/>
      <name val="Arial"/>
      <family val="0"/>
      <charset val="1"/>
    </font>
    <font>
      <sz val="10"/>
      <color rgb="FF0000FF"/>
      <name val="Arial"/>
      <family val="0"/>
      <charset val="1"/>
    </font>
    <font>
      <b val="true"/>
      <sz val="10"/>
      <color rgb="FFFFFFFF"/>
      <name val="Arial"/>
      <family val="0"/>
      <charset val="1"/>
    </font>
    <font>
      <sz val="9"/>
      <name val="Consolas"/>
      <family val="0"/>
      <charset val="1"/>
    </font>
    <font>
      <i val="true"/>
      <sz val="9"/>
      <color rgb="FF595959"/>
      <name val="Arial"/>
      <family val="0"/>
      <charset val="1"/>
    </font>
    <font>
      <b val="true"/>
      <sz val="13"/>
      <color rgb="FF1F4E3D"/>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right" vertical="center" textRotation="0" wrapText="fals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5" fontId="9" fillId="0" borderId="1" xfId="0" applyFont="true" applyBorder="true" applyAlignment="true" applyProtection="false">
      <alignment horizontal="right" vertical="center"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0"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11" t="s">
        <v>17</v>
      </c>
    </row>
    <row r="19" customFormat="false" ht="15" hidden="false" customHeight="false" outlineLevel="0" collapsed="false">
      <c r="A19" s="3" t="s">
        <v>18</v>
      </c>
    </row>
    <row r="20" customFormat="false" ht="15" hidden="false" customHeight="false" outlineLevel="0" collapsed="false">
      <c r="A20" s="12" t="s">
        <v>19</v>
      </c>
      <c r="B20" s="12" t="s">
        <v>20</v>
      </c>
      <c r="C20" s="12" t="s">
        <v>21</v>
      </c>
      <c r="D20" s="12" t="s">
        <v>22</v>
      </c>
    </row>
    <row r="21" customFormat="false" ht="30" hidden="false" customHeight="true" outlineLevel="0" collapsed="false">
      <c r="A21" s="13" t="s">
        <v>23</v>
      </c>
      <c r="B21" s="14" t="s">
        <v>24</v>
      </c>
      <c r="C21" s="14" t="s">
        <v>25</v>
      </c>
      <c r="D21" s="15" t="s">
        <v>26</v>
      </c>
    </row>
    <row r="22" customFormat="false" ht="30" hidden="false" customHeight="true" outlineLevel="0" collapsed="false">
      <c r="A22" s="13" t="s">
        <v>27</v>
      </c>
      <c r="B22" s="14" t="s">
        <v>28</v>
      </c>
      <c r="C22" s="14" t="s">
        <v>29</v>
      </c>
      <c r="D22" s="15" t="s">
        <v>30</v>
      </c>
    </row>
    <row r="23" customFormat="false" ht="30" hidden="false" customHeight="true" outlineLevel="0" collapsed="false">
      <c r="A23" s="13" t="s">
        <v>31</v>
      </c>
      <c r="B23" s="14" t="s">
        <v>32</v>
      </c>
      <c r="C23" s="14" t="s">
        <v>33</v>
      </c>
      <c r="D23" s="15" t="s">
        <v>34</v>
      </c>
    </row>
    <row r="24" customFormat="false" ht="42" hidden="false" customHeight="true" outlineLevel="0" collapsed="false">
      <c r="A24" s="13" t="s">
        <v>35</v>
      </c>
      <c r="B24" s="14" t="s">
        <v>36</v>
      </c>
      <c r="C24" s="14" t="s">
        <v>37</v>
      </c>
      <c r="D24" s="15" t="s">
        <v>38</v>
      </c>
    </row>
    <row r="25" customFormat="false" ht="30" hidden="false" customHeight="true" outlineLevel="0" collapsed="false">
      <c r="A25" s="13" t="s">
        <v>39</v>
      </c>
      <c r="B25" s="14" t="s">
        <v>40</v>
      </c>
      <c r="C25" s="14" t="s">
        <v>41</v>
      </c>
      <c r="D25" s="15" t="s">
        <v>42</v>
      </c>
    </row>
    <row r="26" customFormat="false" ht="30" hidden="false" customHeight="true" outlineLevel="0" collapsed="false">
      <c r="A26" s="13" t="s">
        <v>43</v>
      </c>
      <c r="B26" s="14" t="s">
        <v>44</v>
      </c>
      <c r="C26" s="14" t="s">
        <v>45</v>
      </c>
      <c r="D26" s="15" t="s">
        <v>46</v>
      </c>
    </row>
    <row r="27" customFormat="false" ht="69.75" hidden="false" customHeight="true" outlineLevel="0" collapsed="false">
      <c r="A27" s="13" t="s">
        <v>47</v>
      </c>
      <c r="B27" s="14" t="s">
        <v>48</v>
      </c>
      <c r="C27" s="14" t="s">
        <v>49</v>
      </c>
      <c r="D27" s="15" t="s">
        <v>50</v>
      </c>
    </row>
    <row r="28" customFormat="false" ht="30" hidden="false" customHeight="true" outlineLevel="0" collapsed="false">
      <c r="A28" s="13" t="s">
        <v>51</v>
      </c>
      <c r="B28" s="14" t="s">
        <v>52</v>
      </c>
      <c r="C28" s="14" t="s">
        <v>53</v>
      </c>
      <c r="D28" s="15" t="s">
        <v>54</v>
      </c>
    </row>
    <row r="29" customFormat="false" ht="30" hidden="false" customHeight="true" outlineLevel="0" collapsed="false">
      <c r="A29" s="13" t="s">
        <v>55</v>
      </c>
      <c r="B29" s="14" t="s">
        <v>56</v>
      </c>
      <c r="C29" s="14" t="s">
        <v>57</v>
      </c>
      <c r="D29" s="15" t="s">
        <v>58</v>
      </c>
    </row>
    <row r="30" customFormat="false" ht="30" hidden="false" customHeight="true" outlineLevel="0" collapsed="false">
      <c r="A30" s="13" t="s">
        <v>59</v>
      </c>
      <c r="B30" s="14" t="s">
        <v>60</v>
      </c>
      <c r="C30" s="14" t="s">
        <v>61</v>
      </c>
      <c r="D30" s="15" t="s">
        <v>62</v>
      </c>
    </row>
    <row r="31" customFormat="false" ht="30" hidden="false" customHeight="true" outlineLevel="0" collapsed="false">
      <c r="A31" s="13" t="s">
        <v>63</v>
      </c>
      <c r="B31" s="14" t="s">
        <v>64</v>
      </c>
      <c r="C31" s="14" t="s">
        <v>65</v>
      </c>
      <c r="D31" s="15" t="s">
        <v>66</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7"/>
    <col collapsed="false" customWidth="true" hidden="false" outlineLevel="0" max="9" min="4" style="0" width="11"/>
    <col collapsed="false" customWidth="true" hidden="false" outlineLevel="0" max="10" min="10" style="0" width="13"/>
    <col collapsed="false" customWidth="true" hidden="false" outlineLevel="0" max="11" min="11" style="0" width="14"/>
    <col collapsed="false" customWidth="true" hidden="false" outlineLevel="0" max="12" min="12" style="0" width="13"/>
    <col collapsed="false" customWidth="true" hidden="false" outlineLevel="0" max="13" min="13" style="0" width="21"/>
    <col collapsed="false" customWidth="true" hidden="false" outlineLevel="0" max="14" min="14" style="0" width="3"/>
    <col collapsed="false" customWidth="true" hidden="false" outlineLevel="0" max="15" min="15" style="0" width="30"/>
    <col collapsed="false" customWidth="true" hidden="false" outlineLevel="0" max="16" min="16" style="0" width="16"/>
    <col collapsed="false" customWidth="true" hidden="false" outlineLevel="0" max="17" min="17" style="0" width="42"/>
  </cols>
  <sheetData>
    <row r="1" customFormat="false" ht="33.75" hidden="false" customHeight="true" outlineLevel="0" collapsed="false">
      <c r="A1" s="12" t="s">
        <v>19</v>
      </c>
      <c r="B1" s="12" t="s">
        <v>67</v>
      </c>
      <c r="C1" s="12" t="s">
        <v>68</v>
      </c>
      <c r="D1" s="12" t="s">
        <v>69</v>
      </c>
      <c r="E1" s="12" t="s">
        <v>70</v>
      </c>
      <c r="F1" s="12" t="s">
        <v>71</v>
      </c>
      <c r="G1" s="12" t="s">
        <v>72</v>
      </c>
      <c r="H1" s="12" t="s">
        <v>73</v>
      </c>
      <c r="I1" s="12" t="s">
        <v>74</v>
      </c>
      <c r="J1" s="16" t="s">
        <v>75</v>
      </c>
      <c r="K1" s="16" t="s">
        <v>76</v>
      </c>
      <c r="L1" s="16" t="s">
        <v>77</v>
      </c>
      <c r="M1" s="16" t="s">
        <v>78</v>
      </c>
      <c r="O1" s="17" t="s">
        <v>79</v>
      </c>
      <c r="P1" s="17" t="s">
        <v>80</v>
      </c>
      <c r="Q1" s="17" t="s">
        <v>81</v>
      </c>
    </row>
    <row r="2" customFormat="false" ht="15" hidden="false" customHeight="false" outlineLevel="0" collapsed="false">
      <c r="A2" s="18" t="n">
        <v>1</v>
      </c>
      <c r="B2" s="19" t="s">
        <v>82</v>
      </c>
      <c r="C2" s="19" t="s">
        <v>83</v>
      </c>
      <c r="D2" s="20" t="n">
        <v>50000</v>
      </c>
      <c r="E2" s="20" t="n">
        <v>50000</v>
      </c>
      <c r="F2" s="20" t="n">
        <v>50000</v>
      </c>
      <c r="G2" s="20" t="n">
        <v>50000</v>
      </c>
      <c r="H2" s="20" t="n">
        <v>50000</v>
      </c>
      <c r="I2" s="20" t="n">
        <v>50000</v>
      </c>
      <c r="J2" s="21" t="n">
        <f aca="false">COUNTIF(D2:I2,$P$2)</f>
        <v>6</v>
      </c>
      <c r="K2" s="22" t="n">
        <f aca="false">SUM(D2:I2)</f>
        <v>300000</v>
      </c>
      <c r="L2" s="22" t="n">
        <f aca="false">$P$2*$P$3-K2</f>
        <v>0</v>
      </c>
      <c r="M2" s="23" t="str">
        <f aca="false">IF(L2&lt;=0,"Lunas",IF(L2&lt;=$P$2*2,"Menunggak 1-2 Bulan","Menunggak 3+ Bulan"))</f>
        <v>Lunas</v>
      </c>
      <c r="O2" s="24" t="s">
        <v>84</v>
      </c>
      <c r="P2" s="25" t="n">
        <v>50000</v>
      </c>
      <c r="Q2" s="26"/>
    </row>
    <row r="3" customFormat="false" ht="15" hidden="false" customHeight="false" outlineLevel="0" collapsed="false">
      <c r="A3" s="18" t="n">
        <v>2</v>
      </c>
      <c r="B3" s="19" t="s">
        <v>85</v>
      </c>
      <c r="C3" s="19" t="s">
        <v>83</v>
      </c>
      <c r="D3" s="20" t="n">
        <v>50000</v>
      </c>
      <c r="E3" s="20" t="n">
        <v>50000</v>
      </c>
      <c r="F3" s="20" t="n">
        <v>50000</v>
      </c>
      <c r="G3" s="20" t="n">
        <v>0</v>
      </c>
      <c r="H3" s="20" t="n">
        <v>50000</v>
      </c>
      <c r="I3" s="20" t="n">
        <v>50000</v>
      </c>
      <c r="J3" s="21" t="n">
        <f aca="false">COUNTIF(D3:I3,$P$2)</f>
        <v>5</v>
      </c>
      <c r="K3" s="22" t="n">
        <f aca="false">SUM(D3:I3)</f>
        <v>250000</v>
      </c>
      <c r="L3" s="22" t="n">
        <f aca="false">$P$2*$P$3-K3</f>
        <v>50000</v>
      </c>
      <c r="M3" s="23" t="str">
        <f aca="false">IF(L3&lt;=0,"Lunas",IF(L3&lt;=$P$2*2,"Menunggak 1-2 Bulan","Menunggak 3+ Bulan"))</f>
        <v>Menunggak 1-2 Bulan</v>
      </c>
      <c r="O3" s="24" t="s">
        <v>86</v>
      </c>
      <c r="P3" s="27" t="n">
        <v>6</v>
      </c>
      <c r="Q3" s="26"/>
    </row>
    <row r="4" customFormat="false" ht="15" hidden="false" customHeight="false" outlineLevel="0" collapsed="false">
      <c r="A4" s="18" t="n">
        <v>3</v>
      </c>
      <c r="B4" s="19" t="s">
        <v>87</v>
      </c>
      <c r="C4" s="19" t="s">
        <v>88</v>
      </c>
      <c r="D4" s="20" t="n">
        <v>50000</v>
      </c>
      <c r="E4" s="20" t="n">
        <v>50000</v>
      </c>
      <c r="F4" s="20" t="n">
        <v>50000</v>
      </c>
      <c r="G4" s="20" t="n">
        <v>50000</v>
      </c>
      <c r="H4" s="20" t="n">
        <v>50000</v>
      </c>
      <c r="I4" s="20" t="n">
        <v>50000</v>
      </c>
      <c r="J4" s="21" t="n">
        <f aca="false">COUNTIF(D4:I4,$P$2)</f>
        <v>6</v>
      </c>
      <c r="K4" s="22" t="n">
        <f aca="false">SUM(D4:I4)</f>
        <v>300000</v>
      </c>
      <c r="L4" s="22" t="n">
        <f aca="false">$P$2*$P$3-K4</f>
        <v>0</v>
      </c>
      <c r="M4" s="23" t="str">
        <f aca="false">IF(L4&lt;=0,"Lunas",IF(L4&lt;=$P$2*2,"Menunggak 1-2 Bulan","Menunggak 3+ Bulan"))</f>
        <v>Lunas</v>
      </c>
    </row>
    <row r="5" customFormat="false" ht="15" hidden="false" customHeight="false" outlineLevel="0" collapsed="false">
      <c r="A5" s="18" t="n">
        <v>4</v>
      </c>
      <c r="B5" s="19" t="s">
        <v>89</v>
      </c>
      <c r="C5" s="19" t="s">
        <v>83</v>
      </c>
      <c r="D5" s="20" t="n">
        <v>50000</v>
      </c>
      <c r="E5" s="20" t="n">
        <v>50000</v>
      </c>
      <c r="F5" s="20" t="n">
        <v>50000</v>
      </c>
      <c r="G5" s="20" t="n">
        <v>50000</v>
      </c>
      <c r="H5" s="20" t="n">
        <v>50000</v>
      </c>
      <c r="I5" s="20" t="n">
        <v>50000</v>
      </c>
      <c r="J5" s="21" t="n">
        <f aca="false">COUNTIF(D5:I5,$P$2)</f>
        <v>6</v>
      </c>
      <c r="K5" s="22" t="n">
        <f aca="false">SUM(D5:I5)</f>
        <v>300000</v>
      </c>
      <c r="L5" s="22" t="n">
        <f aca="false">$P$2*$P$3-K5</f>
        <v>0</v>
      </c>
      <c r="M5" s="23" t="str">
        <f aca="false">IF(L5&lt;=0,"Lunas",IF(L5&lt;=$P$2*2,"Menunggak 1-2 Bulan","Menunggak 3+ Bulan"))</f>
        <v>Lunas</v>
      </c>
    </row>
    <row r="6" customFormat="false" ht="15" hidden="false" customHeight="false" outlineLevel="0" collapsed="false">
      <c r="A6" s="18" t="n">
        <v>5</v>
      </c>
      <c r="B6" s="19" t="s">
        <v>90</v>
      </c>
      <c r="C6" s="19" t="s">
        <v>91</v>
      </c>
      <c r="D6" s="20" t="n">
        <v>50000</v>
      </c>
      <c r="E6" s="20" t="n">
        <v>50000</v>
      </c>
      <c r="F6" s="20" t="n">
        <v>0</v>
      </c>
      <c r="G6" s="20" t="n">
        <v>0</v>
      </c>
      <c r="H6" s="20" t="n">
        <v>0</v>
      </c>
      <c r="I6" s="20" t="n">
        <v>25000</v>
      </c>
      <c r="J6" s="21" t="n">
        <f aca="false">COUNTIF(D6:I6,$P$2)</f>
        <v>2</v>
      </c>
      <c r="K6" s="22" t="n">
        <f aca="false">SUM(D6:I6)</f>
        <v>125000</v>
      </c>
      <c r="L6" s="22" t="n">
        <f aca="false">$P$2*$P$3-K6</f>
        <v>175000</v>
      </c>
      <c r="M6" s="23" t="str">
        <f aca="false">IF(L6&lt;=0,"Lunas",IF(L6&lt;=$P$2*2,"Menunggak 1-2 Bulan","Menunggak 3+ Bulan"))</f>
        <v>Menunggak 3+ Bulan</v>
      </c>
    </row>
    <row r="7" customFormat="false" ht="15" hidden="false" customHeight="false" outlineLevel="0" collapsed="false">
      <c r="A7" s="18" t="n">
        <v>6</v>
      </c>
      <c r="B7" s="19" t="s">
        <v>92</v>
      </c>
      <c r="C7" s="19" t="s">
        <v>83</v>
      </c>
      <c r="D7" s="20" t="n">
        <v>50000</v>
      </c>
      <c r="E7" s="20" t="n">
        <v>50000</v>
      </c>
      <c r="F7" s="20" t="n">
        <v>50000</v>
      </c>
      <c r="G7" s="20" t="n">
        <v>50000</v>
      </c>
      <c r="H7" s="20" t="n">
        <v>50000</v>
      </c>
      <c r="I7" s="20" t="n">
        <v>50000</v>
      </c>
      <c r="J7" s="21" t="n">
        <f aca="false">COUNTIF(D7:I7,$P$2)</f>
        <v>6</v>
      </c>
      <c r="K7" s="22" t="n">
        <f aca="false">SUM(D7:I7)</f>
        <v>300000</v>
      </c>
      <c r="L7" s="22" t="n">
        <f aca="false">$P$2*$P$3-K7</f>
        <v>0</v>
      </c>
      <c r="M7" s="23" t="str">
        <f aca="false">IF(L7&lt;=0,"Lunas",IF(L7&lt;=$P$2*2,"Menunggak 1-2 Bulan","Menunggak 3+ Bulan"))</f>
        <v>Lunas</v>
      </c>
    </row>
    <row r="8" customFormat="false" ht="15" hidden="false" customHeight="false" outlineLevel="0" collapsed="false">
      <c r="A8" s="18" t="n">
        <v>7</v>
      </c>
      <c r="B8" s="19" t="s">
        <v>93</v>
      </c>
      <c r="C8" s="19" t="s">
        <v>91</v>
      </c>
      <c r="D8" s="20" t="n">
        <v>50000</v>
      </c>
      <c r="E8" s="20" t="n">
        <v>50000</v>
      </c>
      <c r="F8" s="20" t="n">
        <v>25000</v>
      </c>
      <c r="G8" s="20" t="n">
        <v>50000</v>
      </c>
      <c r="H8" s="20" t="n">
        <v>50000</v>
      </c>
      <c r="I8" s="20" t="n">
        <v>50000</v>
      </c>
      <c r="J8" s="21" t="n">
        <f aca="false">COUNTIF(D8:I8,$P$2)</f>
        <v>5</v>
      </c>
      <c r="K8" s="22" t="n">
        <f aca="false">SUM(D8:I8)</f>
        <v>275000</v>
      </c>
      <c r="L8" s="22" t="n">
        <f aca="false">$P$2*$P$3-K8</f>
        <v>25000</v>
      </c>
      <c r="M8" s="23" t="str">
        <f aca="false">IF(L8&lt;=0,"Lunas",IF(L8&lt;=$P$2*2,"Menunggak 1-2 Bulan","Menunggak 3+ Bulan"))</f>
        <v>Menunggak 1-2 Bulan</v>
      </c>
    </row>
    <row r="9" customFormat="false" ht="15" hidden="false" customHeight="false" outlineLevel="0" collapsed="false">
      <c r="A9" s="18" t="n">
        <v>8</v>
      </c>
      <c r="B9" s="19" t="s">
        <v>94</v>
      </c>
      <c r="C9" s="19" t="s">
        <v>88</v>
      </c>
      <c r="D9" s="20" t="n">
        <v>50000</v>
      </c>
      <c r="E9" s="20" t="n">
        <v>50000</v>
      </c>
      <c r="F9" s="20" t="n">
        <v>50000</v>
      </c>
      <c r="G9" s="20" t="n">
        <v>50000</v>
      </c>
      <c r="H9" s="20" t="n">
        <v>50000</v>
      </c>
      <c r="I9" s="20" t="n">
        <v>50000</v>
      </c>
      <c r="J9" s="21" t="n">
        <f aca="false">COUNTIF(D9:I9,$P$2)</f>
        <v>6</v>
      </c>
      <c r="K9" s="22" t="n">
        <f aca="false">SUM(D9:I9)</f>
        <v>300000</v>
      </c>
      <c r="L9" s="22" t="n">
        <f aca="false">$P$2*$P$3-K9</f>
        <v>0</v>
      </c>
      <c r="M9" s="23" t="str">
        <f aca="false">IF(L9&lt;=0,"Lunas",IF(L9&lt;=$P$2*2,"Menunggak 1-2 Bulan","Menunggak 3+ Bulan"))</f>
        <v>Lunas</v>
      </c>
    </row>
    <row r="10" customFormat="false" ht="15" hidden="false" customHeight="false" outlineLevel="0" collapsed="false">
      <c r="A10" s="18" t="n">
        <v>9</v>
      </c>
      <c r="B10" s="19" t="s">
        <v>95</v>
      </c>
      <c r="C10" s="19" t="s">
        <v>91</v>
      </c>
      <c r="D10" s="20" t="n">
        <v>0</v>
      </c>
      <c r="E10" s="20" t="n">
        <v>50000</v>
      </c>
      <c r="F10" s="20" t="n">
        <v>50000</v>
      </c>
      <c r="G10" s="20" t="n">
        <v>50000</v>
      </c>
      <c r="H10" s="20" t="n">
        <v>50000</v>
      </c>
      <c r="I10" s="20" t="n">
        <v>25000</v>
      </c>
      <c r="J10" s="21" t="n">
        <f aca="false">COUNTIF(D10:I10,$P$2)</f>
        <v>4</v>
      </c>
      <c r="K10" s="22" t="n">
        <f aca="false">SUM(D10:I10)</f>
        <v>225000</v>
      </c>
      <c r="L10" s="22" t="n">
        <f aca="false">$P$2*$P$3-K10</f>
        <v>75000</v>
      </c>
      <c r="M10" s="23" t="str">
        <f aca="false">IF(L10&lt;=0,"Lunas",IF(L10&lt;=$P$2*2,"Menunggak 1-2 Bulan","Menunggak 3+ Bulan"))</f>
        <v>Menunggak 1-2 Bulan</v>
      </c>
    </row>
    <row r="11" customFormat="false" ht="15" hidden="false" customHeight="false" outlineLevel="0" collapsed="false">
      <c r="A11" s="18" t="n">
        <v>10</v>
      </c>
      <c r="B11" s="19" t="s">
        <v>96</v>
      </c>
      <c r="C11" s="19" t="s">
        <v>83</v>
      </c>
      <c r="D11" s="20" t="n">
        <v>0</v>
      </c>
      <c r="E11" s="20" t="n">
        <v>50000</v>
      </c>
      <c r="F11" s="20" t="n">
        <v>0</v>
      </c>
      <c r="G11" s="20" t="n">
        <v>0</v>
      </c>
      <c r="H11" s="20" t="n">
        <v>50000</v>
      </c>
      <c r="I11" s="20" t="n">
        <v>50000</v>
      </c>
      <c r="J11" s="21" t="n">
        <f aca="false">COUNTIF(D11:I11,$P$2)</f>
        <v>3</v>
      </c>
      <c r="K11" s="22" t="n">
        <f aca="false">SUM(D11:I11)</f>
        <v>150000</v>
      </c>
      <c r="L11" s="22" t="n">
        <f aca="false">$P$2*$P$3-K11</f>
        <v>150000</v>
      </c>
      <c r="M11" s="23" t="str">
        <f aca="false">IF(L11&lt;=0,"Lunas",IF(L11&lt;=$P$2*2,"Menunggak 1-2 Bulan","Menunggak 3+ Bulan"))</f>
        <v>Menunggak 3+ Bulan</v>
      </c>
    </row>
    <row r="12" customFormat="false" ht="15" hidden="false" customHeight="false" outlineLevel="0" collapsed="false">
      <c r="A12" s="18" t="n">
        <v>11</v>
      </c>
      <c r="B12" s="19" t="s">
        <v>97</v>
      </c>
      <c r="C12" s="19" t="s">
        <v>91</v>
      </c>
      <c r="D12" s="20" t="n">
        <v>0</v>
      </c>
      <c r="E12" s="20" t="n">
        <v>50000</v>
      </c>
      <c r="F12" s="20" t="n">
        <v>50000</v>
      </c>
      <c r="G12" s="20" t="n">
        <v>50000</v>
      </c>
      <c r="H12" s="20" t="n">
        <v>50000</v>
      </c>
      <c r="I12" s="20" t="n">
        <v>0</v>
      </c>
      <c r="J12" s="21" t="n">
        <f aca="false">COUNTIF(D12:I12,$P$2)</f>
        <v>4</v>
      </c>
      <c r="K12" s="22" t="n">
        <f aca="false">SUM(D12:I12)</f>
        <v>200000</v>
      </c>
      <c r="L12" s="22" t="n">
        <f aca="false">$P$2*$P$3-K12</f>
        <v>100000</v>
      </c>
      <c r="M12" s="23" t="str">
        <f aca="false">IF(L12&lt;=0,"Lunas",IF(L12&lt;=$P$2*2,"Menunggak 1-2 Bulan","Menunggak 3+ Bulan"))</f>
        <v>Menunggak 1-2 Bulan</v>
      </c>
    </row>
    <row r="13" customFormat="false" ht="15" hidden="false" customHeight="false" outlineLevel="0" collapsed="false">
      <c r="A13" s="18" t="n">
        <v>12</v>
      </c>
      <c r="B13" s="19" t="s">
        <v>98</v>
      </c>
      <c r="C13" s="19" t="s">
        <v>91</v>
      </c>
      <c r="D13" s="20" t="n">
        <v>50000</v>
      </c>
      <c r="E13" s="20" t="n">
        <v>50000</v>
      </c>
      <c r="F13" s="20" t="n">
        <v>50000</v>
      </c>
      <c r="G13" s="20" t="n">
        <v>50000</v>
      </c>
      <c r="H13" s="20" t="n">
        <v>25000</v>
      </c>
      <c r="I13" s="20" t="n">
        <v>50000</v>
      </c>
      <c r="J13" s="21" t="n">
        <f aca="false">COUNTIF(D13:I13,$P$2)</f>
        <v>5</v>
      </c>
      <c r="K13" s="22" t="n">
        <f aca="false">SUM(D13:I13)</f>
        <v>275000</v>
      </c>
      <c r="L13" s="22" t="n">
        <f aca="false">$P$2*$P$3-K13</f>
        <v>25000</v>
      </c>
      <c r="M13" s="23" t="str">
        <f aca="false">IF(L13&lt;=0,"Lunas",IF(L13&lt;=$P$2*2,"Menunggak 1-2 Bulan","Menunggak 3+ Bulan"))</f>
        <v>Menunggak 1-2 Bulan</v>
      </c>
    </row>
    <row r="14" customFormat="false" ht="15" hidden="false" customHeight="false" outlineLevel="0" collapsed="false">
      <c r="A14" s="18" t="n">
        <v>13</v>
      </c>
      <c r="B14" s="19" t="s">
        <v>99</v>
      </c>
      <c r="C14" s="19" t="s">
        <v>83</v>
      </c>
      <c r="D14" s="20" t="n">
        <v>50000</v>
      </c>
      <c r="E14" s="20" t="n">
        <v>50000</v>
      </c>
      <c r="F14" s="20" t="n">
        <v>50000</v>
      </c>
      <c r="G14" s="20" t="n">
        <v>50000</v>
      </c>
      <c r="H14" s="20" t="n">
        <v>50000</v>
      </c>
      <c r="I14" s="20" t="n">
        <v>50000</v>
      </c>
      <c r="J14" s="21" t="n">
        <f aca="false">COUNTIF(D14:I14,$P$2)</f>
        <v>6</v>
      </c>
      <c r="K14" s="22" t="n">
        <f aca="false">SUM(D14:I14)</f>
        <v>300000</v>
      </c>
      <c r="L14" s="22" t="n">
        <f aca="false">$P$2*$P$3-K14</f>
        <v>0</v>
      </c>
      <c r="M14" s="23" t="str">
        <f aca="false">IF(L14&lt;=0,"Lunas",IF(L14&lt;=$P$2*2,"Menunggak 1-2 Bulan","Menunggak 3+ Bulan"))</f>
        <v>Lunas</v>
      </c>
    </row>
    <row r="15" customFormat="false" ht="15" hidden="false" customHeight="false" outlineLevel="0" collapsed="false">
      <c r="A15" s="18" t="n">
        <v>14</v>
      </c>
      <c r="B15" s="19" t="s">
        <v>100</v>
      </c>
      <c r="C15" s="19" t="s">
        <v>83</v>
      </c>
      <c r="D15" s="20" t="n">
        <v>50000</v>
      </c>
      <c r="E15" s="20" t="n">
        <v>50000</v>
      </c>
      <c r="F15" s="20" t="n">
        <v>50000</v>
      </c>
      <c r="G15" s="20" t="n">
        <v>50000</v>
      </c>
      <c r="H15" s="20" t="n">
        <v>50000</v>
      </c>
      <c r="I15" s="20" t="n">
        <v>25000</v>
      </c>
      <c r="J15" s="21" t="n">
        <f aca="false">COUNTIF(D15:I15,$P$2)</f>
        <v>5</v>
      </c>
      <c r="K15" s="22" t="n">
        <f aca="false">SUM(D15:I15)</f>
        <v>275000</v>
      </c>
      <c r="L15" s="22" t="n">
        <f aca="false">$P$2*$P$3-K15</f>
        <v>25000</v>
      </c>
      <c r="M15" s="23" t="str">
        <f aca="false">IF(L15&lt;=0,"Lunas",IF(L15&lt;=$P$2*2,"Menunggak 1-2 Bulan","Menunggak 3+ Bulan"))</f>
        <v>Menunggak 1-2 Bulan</v>
      </c>
    </row>
    <row r="16" customFormat="false" ht="15" hidden="false" customHeight="false" outlineLevel="0" collapsed="false">
      <c r="A16" s="18" t="n">
        <v>15</v>
      </c>
      <c r="B16" s="19" t="s">
        <v>101</v>
      </c>
      <c r="C16" s="19" t="s">
        <v>83</v>
      </c>
      <c r="D16" s="20" t="n">
        <v>50000</v>
      </c>
      <c r="E16" s="20" t="n">
        <v>50000</v>
      </c>
      <c r="F16" s="20" t="n">
        <v>50000</v>
      </c>
      <c r="G16" s="20" t="n">
        <v>50000</v>
      </c>
      <c r="H16" s="20" t="n">
        <v>50000</v>
      </c>
      <c r="I16" s="20" t="n">
        <v>50000</v>
      </c>
      <c r="J16" s="21" t="n">
        <f aca="false">COUNTIF(D16:I16,$P$2)</f>
        <v>6</v>
      </c>
      <c r="K16" s="22" t="n">
        <f aca="false">SUM(D16:I16)</f>
        <v>300000</v>
      </c>
      <c r="L16" s="22" t="n">
        <f aca="false">$P$2*$P$3-K16</f>
        <v>0</v>
      </c>
      <c r="M16" s="23" t="str">
        <f aca="false">IF(L16&lt;=0,"Lunas",IF(L16&lt;=$P$2*2,"Menunggak 1-2 Bulan","Menunggak 3+ Bulan"))</f>
        <v>Lunas</v>
      </c>
    </row>
    <row r="17" customFormat="false" ht="15" hidden="false" customHeight="false" outlineLevel="0" collapsed="false">
      <c r="A17" s="18" t="n">
        <v>16</v>
      </c>
      <c r="B17" s="19" t="s">
        <v>102</v>
      </c>
      <c r="C17" s="19" t="s">
        <v>83</v>
      </c>
      <c r="D17" s="20" t="n">
        <v>50000</v>
      </c>
      <c r="E17" s="20" t="n">
        <v>50000</v>
      </c>
      <c r="F17" s="20" t="n">
        <v>0</v>
      </c>
      <c r="G17" s="20" t="n">
        <v>50000</v>
      </c>
      <c r="H17" s="20" t="n">
        <v>50000</v>
      </c>
      <c r="I17" s="20" t="n">
        <v>0</v>
      </c>
      <c r="J17" s="21" t="n">
        <f aca="false">COUNTIF(D17:I17,$P$2)</f>
        <v>4</v>
      </c>
      <c r="K17" s="22" t="n">
        <f aca="false">SUM(D17:I17)</f>
        <v>200000</v>
      </c>
      <c r="L17" s="22" t="n">
        <f aca="false">$P$2*$P$3-K17</f>
        <v>100000</v>
      </c>
      <c r="M17" s="23" t="str">
        <f aca="false">IF(L17&lt;=0,"Lunas",IF(L17&lt;=$P$2*2,"Menunggak 1-2 Bulan","Menunggak 3+ Bulan"))</f>
        <v>Menunggak 1-2 Bulan</v>
      </c>
    </row>
    <row r="18" customFormat="false" ht="15" hidden="false" customHeight="false" outlineLevel="0" collapsed="false">
      <c r="A18" s="18" t="n">
        <v>17</v>
      </c>
      <c r="B18" s="19" t="s">
        <v>103</v>
      </c>
      <c r="C18" s="19" t="s">
        <v>91</v>
      </c>
      <c r="D18" s="20" t="n">
        <v>50000</v>
      </c>
      <c r="E18" s="20" t="n">
        <v>25000</v>
      </c>
      <c r="F18" s="20" t="n">
        <v>50000</v>
      </c>
      <c r="G18" s="20" t="n">
        <v>50000</v>
      </c>
      <c r="H18" s="20" t="n">
        <v>50000</v>
      </c>
      <c r="I18" s="20" t="n">
        <v>50000</v>
      </c>
      <c r="J18" s="21" t="n">
        <f aca="false">COUNTIF(D18:I18,$P$2)</f>
        <v>5</v>
      </c>
      <c r="K18" s="22" t="n">
        <f aca="false">SUM(D18:I18)</f>
        <v>275000</v>
      </c>
      <c r="L18" s="22" t="n">
        <f aca="false">$P$2*$P$3-K18</f>
        <v>25000</v>
      </c>
      <c r="M18" s="23" t="str">
        <f aca="false">IF(L18&lt;=0,"Lunas",IF(L18&lt;=$P$2*2,"Menunggak 1-2 Bulan","Menunggak 3+ Bulan"))</f>
        <v>Menunggak 1-2 Bulan</v>
      </c>
    </row>
    <row r="19" customFormat="false" ht="15" hidden="false" customHeight="false" outlineLevel="0" collapsed="false">
      <c r="A19" s="18" t="n">
        <v>18</v>
      </c>
      <c r="B19" s="19" t="s">
        <v>104</v>
      </c>
      <c r="C19" s="19" t="s">
        <v>83</v>
      </c>
      <c r="D19" s="20" t="n">
        <v>0</v>
      </c>
      <c r="E19" s="20" t="n">
        <v>25000</v>
      </c>
      <c r="F19" s="20" t="n">
        <v>50000</v>
      </c>
      <c r="G19" s="20" t="n">
        <v>50000</v>
      </c>
      <c r="H19" s="20" t="n">
        <v>25000</v>
      </c>
      <c r="I19" s="20" t="n">
        <v>0</v>
      </c>
      <c r="J19" s="21" t="n">
        <f aca="false">COUNTIF(D19:I19,$P$2)</f>
        <v>2</v>
      </c>
      <c r="K19" s="22" t="n">
        <f aca="false">SUM(D19:I19)</f>
        <v>150000</v>
      </c>
      <c r="L19" s="22" t="n">
        <f aca="false">$P$2*$P$3-K19</f>
        <v>150000</v>
      </c>
      <c r="M19" s="23" t="str">
        <f aca="false">IF(L19&lt;=0,"Lunas",IF(L19&lt;=$P$2*2,"Menunggak 1-2 Bulan","Menunggak 3+ Bulan"))</f>
        <v>Menunggak 3+ Bulan</v>
      </c>
    </row>
    <row r="20" customFormat="false" ht="15" hidden="false" customHeight="false" outlineLevel="0" collapsed="false">
      <c r="A20" s="18" t="n">
        <v>19</v>
      </c>
      <c r="B20" s="19" t="s">
        <v>105</v>
      </c>
      <c r="C20" s="19" t="s">
        <v>91</v>
      </c>
      <c r="D20" s="20" t="n">
        <v>50000</v>
      </c>
      <c r="E20" s="20" t="n">
        <v>0</v>
      </c>
      <c r="F20" s="20" t="n">
        <v>50000</v>
      </c>
      <c r="G20" s="20" t="n">
        <v>50000</v>
      </c>
      <c r="H20" s="20" t="n">
        <v>50000</v>
      </c>
      <c r="I20" s="20" t="n">
        <v>25000</v>
      </c>
      <c r="J20" s="21" t="n">
        <f aca="false">COUNTIF(D20:I20,$P$2)</f>
        <v>4</v>
      </c>
      <c r="K20" s="22" t="n">
        <f aca="false">SUM(D20:I20)</f>
        <v>225000</v>
      </c>
      <c r="L20" s="22" t="n">
        <f aca="false">$P$2*$P$3-K20</f>
        <v>75000</v>
      </c>
      <c r="M20" s="23" t="str">
        <f aca="false">IF(L20&lt;=0,"Lunas",IF(L20&lt;=$P$2*2,"Menunggak 1-2 Bulan","Menunggak 3+ Bulan"))</f>
        <v>Menunggak 1-2 Bulan</v>
      </c>
    </row>
    <row r="21" customFormat="false" ht="15" hidden="false" customHeight="false" outlineLevel="0" collapsed="false">
      <c r="A21" s="18" t="n">
        <v>20</v>
      </c>
      <c r="B21" s="19" t="s">
        <v>106</v>
      </c>
      <c r="C21" s="19" t="s">
        <v>88</v>
      </c>
      <c r="D21" s="20" t="n">
        <v>50000</v>
      </c>
      <c r="E21" s="20" t="n">
        <v>50000</v>
      </c>
      <c r="F21" s="20" t="n">
        <v>50000</v>
      </c>
      <c r="G21" s="20" t="n">
        <v>50000</v>
      </c>
      <c r="H21" s="20" t="n">
        <v>50000</v>
      </c>
      <c r="I21" s="20" t="n">
        <v>50000</v>
      </c>
      <c r="J21" s="21" t="n">
        <f aca="false">COUNTIF(D21:I21,$P$2)</f>
        <v>6</v>
      </c>
      <c r="K21" s="22" t="n">
        <f aca="false">SUM(D21:I21)</f>
        <v>300000</v>
      </c>
      <c r="L21" s="22" t="n">
        <f aca="false">$P$2*$P$3-K21</f>
        <v>0</v>
      </c>
      <c r="M21" s="23" t="str">
        <f aca="false">IF(L21&lt;=0,"Lunas",IF(L21&lt;=$P$2*2,"Menunggak 1-2 Bulan","Menunggak 3+ Bulan"))</f>
        <v>Lunas</v>
      </c>
    </row>
    <row r="22" customFormat="false" ht="15" hidden="false" customHeight="false" outlineLevel="0" collapsed="false">
      <c r="A22" s="18" t="n">
        <v>21</v>
      </c>
      <c r="B22" s="19" t="s">
        <v>107</v>
      </c>
      <c r="C22" s="19" t="s">
        <v>83</v>
      </c>
      <c r="D22" s="20" t="n">
        <v>50000</v>
      </c>
      <c r="E22" s="20" t="n">
        <v>0</v>
      </c>
      <c r="F22" s="20" t="n">
        <v>50000</v>
      </c>
      <c r="G22" s="20" t="n">
        <v>50000</v>
      </c>
      <c r="H22" s="20" t="n">
        <v>50000</v>
      </c>
      <c r="I22" s="20" t="n">
        <v>50000</v>
      </c>
      <c r="J22" s="21" t="n">
        <f aca="false">COUNTIF(D22:I22,$P$2)</f>
        <v>5</v>
      </c>
      <c r="K22" s="22" t="n">
        <f aca="false">SUM(D22:I22)</f>
        <v>250000</v>
      </c>
      <c r="L22" s="22" t="n">
        <f aca="false">$P$2*$P$3-K22</f>
        <v>50000</v>
      </c>
      <c r="M22" s="23" t="str">
        <f aca="false">IF(L22&lt;=0,"Lunas",IF(L22&lt;=$P$2*2,"Menunggak 1-2 Bulan","Menunggak 3+ Bulan"))</f>
        <v>Menunggak 1-2 Bulan</v>
      </c>
    </row>
    <row r="23" customFormat="false" ht="15" hidden="false" customHeight="false" outlineLevel="0" collapsed="false">
      <c r="A23" s="18" t="n">
        <v>22</v>
      </c>
      <c r="B23" s="19" t="s">
        <v>108</v>
      </c>
      <c r="C23" s="19" t="s">
        <v>91</v>
      </c>
      <c r="D23" s="20" t="n">
        <v>50000</v>
      </c>
      <c r="E23" s="20" t="n">
        <v>50000</v>
      </c>
      <c r="F23" s="20" t="n">
        <v>0</v>
      </c>
      <c r="G23" s="20" t="n">
        <v>50000</v>
      </c>
      <c r="H23" s="20" t="n">
        <v>50000</v>
      </c>
      <c r="I23" s="20" t="n">
        <v>50000</v>
      </c>
      <c r="J23" s="21" t="n">
        <f aca="false">COUNTIF(D23:I23,$P$2)</f>
        <v>5</v>
      </c>
      <c r="K23" s="22" t="n">
        <f aca="false">SUM(D23:I23)</f>
        <v>250000</v>
      </c>
      <c r="L23" s="22" t="n">
        <f aca="false">$P$2*$P$3-K23</f>
        <v>50000</v>
      </c>
      <c r="M23" s="23" t="str">
        <f aca="false">IF(L23&lt;=0,"Lunas",IF(L23&lt;=$P$2*2,"Menunggak 1-2 Bulan","Menunggak 3+ Bulan"))</f>
        <v>Menunggak 1-2 Bulan</v>
      </c>
    </row>
    <row r="24" customFormat="false" ht="15" hidden="false" customHeight="false" outlineLevel="0" collapsed="false">
      <c r="A24" s="18" t="n">
        <v>23</v>
      </c>
      <c r="B24" s="19" t="s">
        <v>109</v>
      </c>
      <c r="C24" s="19" t="s">
        <v>91</v>
      </c>
      <c r="D24" s="20" t="n">
        <v>50000</v>
      </c>
      <c r="E24" s="20" t="n">
        <v>0</v>
      </c>
      <c r="F24" s="20" t="n">
        <v>50000</v>
      </c>
      <c r="G24" s="20" t="n">
        <v>0</v>
      </c>
      <c r="H24" s="20" t="n">
        <v>50000</v>
      </c>
      <c r="I24" s="20" t="n">
        <v>50000</v>
      </c>
      <c r="J24" s="21" t="n">
        <f aca="false">COUNTIF(D24:I24,$P$2)</f>
        <v>4</v>
      </c>
      <c r="K24" s="22" t="n">
        <f aca="false">SUM(D24:I24)</f>
        <v>200000</v>
      </c>
      <c r="L24" s="22" t="n">
        <f aca="false">$P$2*$P$3-K24</f>
        <v>100000</v>
      </c>
      <c r="M24" s="23" t="str">
        <f aca="false">IF(L24&lt;=0,"Lunas",IF(L24&lt;=$P$2*2,"Menunggak 1-2 Bulan","Menunggak 3+ Bulan"))</f>
        <v>Menunggak 1-2 Bulan</v>
      </c>
    </row>
    <row r="25" customFormat="false" ht="15" hidden="false" customHeight="false" outlineLevel="0" collapsed="false">
      <c r="A25" s="18" t="n">
        <v>24</v>
      </c>
      <c r="B25" s="19" t="s">
        <v>110</v>
      </c>
      <c r="C25" s="19" t="s">
        <v>83</v>
      </c>
      <c r="D25" s="20" t="n">
        <v>50000</v>
      </c>
      <c r="E25" s="20" t="n">
        <v>50000</v>
      </c>
      <c r="F25" s="20" t="n">
        <v>0</v>
      </c>
      <c r="G25" s="20" t="n">
        <v>50000</v>
      </c>
      <c r="H25" s="20" t="n">
        <v>50000</v>
      </c>
      <c r="I25" s="20" t="n">
        <v>50000</v>
      </c>
      <c r="J25" s="21" t="n">
        <f aca="false">COUNTIF(D25:I25,$P$2)</f>
        <v>5</v>
      </c>
      <c r="K25" s="22" t="n">
        <f aca="false">SUM(D25:I25)</f>
        <v>250000</v>
      </c>
      <c r="L25" s="22" t="n">
        <f aca="false">$P$2*$P$3-K25</f>
        <v>50000</v>
      </c>
      <c r="M25" s="23" t="str">
        <f aca="false">IF(L25&lt;=0,"Lunas",IF(L25&lt;=$P$2*2,"Menunggak 1-2 Bulan","Menunggak 3+ Bulan"))</f>
        <v>Menunggak 1-2 Bulan</v>
      </c>
    </row>
    <row r="26" customFormat="false" ht="15" hidden="false" customHeight="false" outlineLevel="0" collapsed="false">
      <c r="A26" s="18" t="n">
        <v>25</v>
      </c>
      <c r="B26" s="19" t="s">
        <v>111</v>
      </c>
      <c r="C26" s="19" t="s">
        <v>88</v>
      </c>
      <c r="D26" s="20" t="n">
        <v>50000</v>
      </c>
      <c r="E26" s="20" t="n">
        <v>50000</v>
      </c>
      <c r="F26" s="20" t="n">
        <v>50000</v>
      </c>
      <c r="G26" s="20" t="n">
        <v>50000</v>
      </c>
      <c r="H26" s="20" t="n">
        <v>50000</v>
      </c>
      <c r="I26" s="20" t="n">
        <v>0</v>
      </c>
      <c r="J26" s="21" t="n">
        <f aca="false">COUNTIF(D26:I26,$P$2)</f>
        <v>5</v>
      </c>
      <c r="K26" s="22" t="n">
        <f aca="false">SUM(D26:I26)</f>
        <v>250000</v>
      </c>
      <c r="L26" s="22" t="n">
        <f aca="false">$P$2*$P$3-K26</f>
        <v>50000</v>
      </c>
      <c r="M26" s="23" t="str">
        <f aca="false">IF(L26&lt;=0,"Lunas",IF(L26&lt;=$P$2*2,"Menunggak 1-2 Bulan","Menunggak 3+ Bulan"))</f>
        <v>Menunggak 1-2 Bulan</v>
      </c>
    </row>
    <row r="27" customFormat="false" ht="15" hidden="false" customHeight="false" outlineLevel="0" collapsed="false">
      <c r="A27" s="18" t="n">
        <v>26</v>
      </c>
      <c r="B27" s="19" t="s">
        <v>112</v>
      </c>
      <c r="C27" s="19" t="s">
        <v>91</v>
      </c>
      <c r="D27" s="20" t="n">
        <v>50000</v>
      </c>
      <c r="E27" s="20" t="n">
        <v>50000</v>
      </c>
      <c r="F27" s="20" t="n">
        <v>50000</v>
      </c>
      <c r="G27" s="20" t="n">
        <v>0</v>
      </c>
      <c r="H27" s="20" t="n">
        <v>50000</v>
      </c>
      <c r="I27" s="20" t="n">
        <v>50000</v>
      </c>
      <c r="J27" s="21" t="n">
        <f aca="false">COUNTIF(D27:I27,$P$2)</f>
        <v>5</v>
      </c>
      <c r="K27" s="22" t="n">
        <f aca="false">SUM(D27:I27)</f>
        <v>250000</v>
      </c>
      <c r="L27" s="22" t="n">
        <f aca="false">$P$2*$P$3-K27</f>
        <v>50000</v>
      </c>
      <c r="M27" s="23" t="str">
        <f aca="false">IF(L27&lt;=0,"Lunas",IF(L27&lt;=$P$2*2,"Menunggak 1-2 Bulan","Menunggak 3+ Bulan"))</f>
        <v>Menunggak 1-2 Bulan</v>
      </c>
    </row>
    <row r="28" customFormat="false" ht="15" hidden="false" customHeight="false" outlineLevel="0" collapsed="false">
      <c r="A28" s="18" t="n">
        <v>27</v>
      </c>
      <c r="B28" s="19" t="s">
        <v>113</v>
      </c>
      <c r="C28" s="19" t="s">
        <v>88</v>
      </c>
      <c r="D28" s="20" t="n">
        <v>25000</v>
      </c>
      <c r="E28" s="20" t="n">
        <v>0</v>
      </c>
      <c r="F28" s="20" t="n">
        <v>50000</v>
      </c>
      <c r="G28" s="20" t="n">
        <v>50000</v>
      </c>
      <c r="H28" s="20" t="n">
        <v>0</v>
      </c>
      <c r="I28" s="20" t="n">
        <v>0</v>
      </c>
      <c r="J28" s="21" t="n">
        <f aca="false">COUNTIF(D28:I28,$P$2)</f>
        <v>2</v>
      </c>
      <c r="K28" s="22" t="n">
        <f aca="false">SUM(D28:I28)</f>
        <v>125000</v>
      </c>
      <c r="L28" s="22" t="n">
        <f aca="false">$P$2*$P$3-K28</f>
        <v>175000</v>
      </c>
      <c r="M28" s="23" t="str">
        <f aca="false">IF(L28&lt;=0,"Lunas",IF(L28&lt;=$P$2*2,"Menunggak 1-2 Bulan","Menunggak 3+ Bulan"))</f>
        <v>Menunggak 3+ Bulan</v>
      </c>
    </row>
    <row r="29" customFormat="false" ht="15" hidden="false" customHeight="false" outlineLevel="0" collapsed="false">
      <c r="A29" s="18" t="n">
        <v>28</v>
      </c>
      <c r="B29" s="19" t="s">
        <v>114</v>
      </c>
      <c r="C29" s="19" t="s">
        <v>83</v>
      </c>
      <c r="D29" s="20" t="n">
        <v>50000</v>
      </c>
      <c r="E29" s="20" t="n">
        <v>50000</v>
      </c>
      <c r="F29" s="20" t="n">
        <v>50000</v>
      </c>
      <c r="G29" s="20" t="n">
        <v>25000</v>
      </c>
      <c r="H29" s="20" t="n">
        <v>50000</v>
      </c>
      <c r="I29" s="20" t="n">
        <v>50000</v>
      </c>
      <c r="J29" s="21" t="n">
        <f aca="false">COUNTIF(D29:I29,$P$2)</f>
        <v>5</v>
      </c>
      <c r="K29" s="22" t="n">
        <f aca="false">SUM(D29:I29)</f>
        <v>275000</v>
      </c>
      <c r="L29" s="22" t="n">
        <f aca="false">$P$2*$P$3-K29</f>
        <v>25000</v>
      </c>
      <c r="M29" s="23" t="str">
        <f aca="false">IF(L29&lt;=0,"Lunas",IF(L29&lt;=$P$2*2,"Menunggak 1-2 Bulan","Menunggak 3+ Bulan"))</f>
        <v>Menunggak 1-2 Bulan</v>
      </c>
    </row>
    <row r="30" customFormat="false" ht="15" hidden="false" customHeight="false" outlineLevel="0" collapsed="false">
      <c r="A30" s="18" t="n">
        <v>29</v>
      </c>
      <c r="B30" s="19" t="s">
        <v>115</v>
      </c>
      <c r="C30" s="19" t="s">
        <v>88</v>
      </c>
      <c r="D30" s="20" t="n">
        <v>50000</v>
      </c>
      <c r="E30" s="20" t="n">
        <v>50000</v>
      </c>
      <c r="F30" s="20" t="n">
        <v>50000</v>
      </c>
      <c r="G30" s="20" t="n">
        <v>50000</v>
      </c>
      <c r="H30" s="20" t="n">
        <v>50000</v>
      </c>
      <c r="I30" s="20" t="n">
        <v>50000</v>
      </c>
      <c r="J30" s="21" t="n">
        <f aca="false">COUNTIF(D30:I30,$P$2)</f>
        <v>6</v>
      </c>
      <c r="K30" s="22" t="n">
        <f aca="false">SUM(D30:I30)</f>
        <v>300000</v>
      </c>
      <c r="L30" s="22" t="n">
        <f aca="false">$P$2*$P$3-K30</f>
        <v>0</v>
      </c>
      <c r="M30" s="23" t="str">
        <f aca="false">IF(L30&lt;=0,"Lunas",IF(L30&lt;=$P$2*2,"Menunggak 1-2 Bulan","Menunggak 3+ Bulan"))</f>
        <v>Lunas</v>
      </c>
    </row>
    <row r="31" customFormat="false" ht="15" hidden="false" customHeight="false" outlineLevel="0" collapsed="false">
      <c r="A31" s="18" t="n">
        <v>30</v>
      </c>
      <c r="B31" s="19" t="s">
        <v>116</v>
      </c>
      <c r="C31" s="19" t="s">
        <v>83</v>
      </c>
      <c r="D31" s="20" t="n">
        <v>0</v>
      </c>
      <c r="E31" s="20" t="n">
        <v>50000</v>
      </c>
      <c r="F31" s="20" t="n">
        <v>50000</v>
      </c>
      <c r="G31" s="20" t="n">
        <v>50000</v>
      </c>
      <c r="H31" s="20" t="n">
        <v>50000</v>
      </c>
      <c r="I31" s="20" t="n">
        <v>50000</v>
      </c>
      <c r="J31" s="21" t="n">
        <f aca="false">COUNTIF(D31:I31,$P$2)</f>
        <v>5</v>
      </c>
      <c r="K31" s="22" t="n">
        <f aca="false">SUM(D31:I31)</f>
        <v>250000</v>
      </c>
      <c r="L31" s="22" t="n">
        <f aca="false">$P$2*$P$3-K31</f>
        <v>50000</v>
      </c>
      <c r="M31" s="23" t="str">
        <f aca="false">IF(L31&lt;=0,"Lunas",IF(L31&lt;=$P$2*2,"Menunggak 1-2 Bulan","Menunggak 3+ Bulan"))</f>
        <v>Menunggak 1-2 Bulan</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4" min="3" style="0" width="15"/>
  </cols>
  <sheetData>
    <row r="1" customFormat="false" ht="33.75" hidden="false" customHeight="true" outlineLevel="0" collapsed="false">
      <c r="A1" s="12" t="s">
        <v>68</v>
      </c>
      <c r="B1" s="16" t="s">
        <v>117</v>
      </c>
      <c r="C1" s="16" t="s">
        <v>118</v>
      </c>
      <c r="D1" s="16" t="s">
        <v>119</v>
      </c>
    </row>
    <row r="2" customFormat="false" ht="15" hidden="false" customHeight="false" outlineLevel="0" collapsed="false">
      <c r="A2" s="19" t="s">
        <v>88</v>
      </c>
      <c r="B2" s="21" t="n">
        <f aca="false">COUNTIF(Data!$C$2:$C$31,A2)</f>
        <v>6</v>
      </c>
      <c r="C2" s="22" t="n">
        <f aca="false">SUMIF(Data!$C$2:$C$31,A2,Data!$K$2:$K$31)</f>
        <v>1575000</v>
      </c>
      <c r="D2" s="22" t="n">
        <f aca="false">SUMIF(Data!$C$2:$C$31,A2,Data!$L$2:$L$31)</f>
        <v>225000</v>
      </c>
    </row>
    <row r="3" customFormat="false" ht="15" hidden="false" customHeight="false" outlineLevel="0" collapsed="false">
      <c r="A3" s="19" t="s">
        <v>83</v>
      </c>
      <c r="B3" s="21" t="n">
        <f aca="false">COUNTIF(Data!$C$2:$C$31,A3)</f>
        <v>14</v>
      </c>
      <c r="C3" s="22" t="n">
        <f aca="false">SUMIF(Data!$C$2:$C$31,A3,Data!$K$2:$K$31)</f>
        <v>3550000</v>
      </c>
      <c r="D3" s="22" t="n">
        <f aca="false">SUMIF(Data!$C$2:$C$31,A3,Data!$L$2:$L$31)</f>
        <v>650000</v>
      </c>
    </row>
    <row r="4" customFormat="false" ht="15" hidden="false" customHeight="false" outlineLevel="0" collapsed="false">
      <c r="A4" s="19" t="s">
        <v>91</v>
      </c>
      <c r="B4" s="21" t="n">
        <f aca="false">COUNTIF(Data!$C$2:$C$31,A4)</f>
        <v>10</v>
      </c>
      <c r="C4" s="22" t="n">
        <f aca="false">SUMIF(Data!$C$2:$C$31,A4,Data!$K$2:$K$31)</f>
        <v>2300000</v>
      </c>
      <c r="D4" s="22" t="n">
        <f aca="false">SUMIF(Data!$C$2:$C$31,A4,Data!$L$2:$L$31)</f>
        <v>700000</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8" t="s">
        <v>120</v>
      </c>
      <c r="B1" s="28"/>
      <c r="C1" s="28"/>
      <c r="D1" s="28"/>
    </row>
    <row r="2" customFormat="false" ht="15" hidden="false" customHeight="false" outlineLevel="0" collapsed="false">
      <c r="A2" s="29" t="s">
        <v>121</v>
      </c>
      <c r="B2" s="29"/>
      <c r="C2" s="29"/>
      <c r="D2" s="29"/>
    </row>
    <row r="3" customFormat="false" ht="15" hidden="false" customHeight="false" outlineLevel="0" collapsed="false">
      <c r="A3" s="12" t="s">
        <v>19</v>
      </c>
      <c r="B3" s="12" t="s">
        <v>122</v>
      </c>
      <c r="C3" s="12" t="s">
        <v>123</v>
      </c>
      <c r="D3" s="12" t="s">
        <v>124</v>
      </c>
    </row>
    <row r="4" customFormat="false" ht="19.5" hidden="false" customHeight="true" outlineLevel="0" collapsed="false">
      <c r="A4" s="30" t="s">
        <v>125</v>
      </c>
      <c r="B4" s="31" t="s">
        <v>126</v>
      </c>
      <c r="C4" s="22" t="n">
        <f aca="false">SUM(Data!$K$2:$K$31)</f>
        <v>7425000</v>
      </c>
      <c r="D4" s="26" t="s">
        <v>127</v>
      </c>
    </row>
    <row r="5" customFormat="false" ht="19.5" hidden="false" customHeight="true" outlineLevel="0" collapsed="false">
      <c r="A5" s="30" t="s">
        <v>128</v>
      </c>
      <c r="B5" s="31" t="s">
        <v>129</v>
      </c>
      <c r="C5" s="22" t="n">
        <f aca="false">SUM(Data!$L$2:$L$31)</f>
        <v>1575000</v>
      </c>
      <c r="D5" s="26" t="s">
        <v>127</v>
      </c>
    </row>
    <row r="6" customFormat="false" ht="19.5" hidden="false" customHeight="true" outlineLevel="0" collapsed="false">
      <c r="A6" s="30" t="s">
        <v>43</v>
      </c>
      <c r="B6" s="31" t="s">
        <v>130</v>
      </c>
      <c r="C6" s="32" t="n">
        <f aca="false">SUM(Data!$K$2:$K$31)/(Data!$P$2*Data!$P$3*COUNTA(Data!$B$2:$B$31))</f>
        <v>0.825</v>
      </c>
      <c r="D6" s="26" t="s">
        <v>131</v>
      </c>
    </row>
    <row r="7" customFormat="false" ht="19.5" hidden="false" customHeight="true" outlineLevel="0" collapsed="false">
      <c r="A7" s="30" t="s">
        <v>132</v>
      </c>
      <c r="B7" s="31" t="s">
        <v>133</v>
      </c>
      <c r="C7" s="21" t="n">
        <f aca="false">COUNTIF(Data!$M$2:$M$31,"Lunas")</f>
        <v>9</v>
      </c>
      <c r="D7" s="26" t="s">
        <v>134</v>
      </c>
    </row>
    <row r="8" customFormat="false" ht="19.5" hidden="false" customHeight="true" outlineLevel="0" collapsed="false">
      <c r="A8" s="30" t="s">
        <v>135</v>
      </c>
      <c r="B8" s="31" t="s">
        <v>136</v>
      </c>
      <c r="C8" s="21" t="n">
        <f aca="false">COUNTIF(Data!$M$2:$M$31,"Menunggak 1-2 Bulan")</f>
        <v>17</v>
      </c>
      <c r="D8" s="26" t="s">
        <v>134</v>
      </c>
    </row>
    <row r="9" customFormat="false" ht="19.5" hidden="false" customHeight="true" outlineLevel="0" collapsed="false">
      <c r="A9" s="30" t="s">
        <v>137</v>
      </c>
      <c r="B9" s="31" t="s">
        <v>138</v>
      </c>
      <c r="C9" s="21" t="n">
        <f aca="false">COUNTIF(Data!$M$2:$M$31,"Menunggak 3+ Bulan")</f>
        <v>4</v>
      </c>
      <c r="D9" s="26" t="s">
        <v>134</v>
      </c>
    </row>
    <row r="10" customFormat="false" ht="19.5" hidden="false" customHeight="true" outlineLevel="0" collapsed="false">
      <c r="A10" s="30" t="s">
        <v>63</v>
      </c>
      <c r="B10" s="31" t="s">
        <v>139</v>
      </c>
      <c r="C10" s="23" t="str">
        <f aca="false">INDEX(Acuan!$A$2:$A$4,MATCH(MAX(Acuan!$D$2:$D$4),Acuan!$D$2:$D$4,0))</f>
        <v>C</v>
      </c>
      <c r="D10" s="26" t="s">
        <v>140</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2026-10-10T06:49:19Z</dcterms:created>
  <dc:creator>PushExcel</dc:creator>
  <dc:description/>
  <dc:language>en-US</dc:language>
  <cp:lastModifiedBy/>
  <dcterms:modified xsi:type="dcterms:W3CDTF">2026-10-10T06:49:19Z</dcterms:modified>
  <cp:revision>0</cp:revision>
  <dc:subject/>
  <dc:title>Iuran Bulanan Warga RT - Kunci</dc:title>
</cp:coreProperties>
</file>

<file path=docProps/custom.xml><?xml version="1.0" encoding="utf-8"?>
<Properties xmlns="http://schemas.openxmlformats.org/officeDocument/2006/custom-properties" xmlns:vt="http://schemas.openxmlformats.org/officeDocument/2006/docPropsVTypes"/>
</file>