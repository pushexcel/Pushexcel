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<sst xmlns="http://schemas.openxmlformats.org/spreadsheetml/2006/main" count="191" uniqueCount="150">
  <si>
    <t xml:space="preserve">Kunci Jawaban: Reservasi Penginapan dan Tagihan Tamu</t>
  </si>
  <si>
    <t xml:space="preserve">Latihan 22 dari 24  |  Tingkat: Menengah  |  Perkiraan waktu: 50 menit  |  pushexcel.github.io/Pushexcel</t>
  </si>
  <si>
    <t xml:space="preserve">Skenario</t>
  </si>
  <si>
    <t xml:space="preserve">Kamu resepsionis di Penginapan Melati Indah. Untuk November dan Desember 2026 ada 30 reservasi. Tarif per malam bergantung tipe kamar (sheet Acuan). Tamu yang menginap 3 malam atau lebih mendapat diskon 10 persen, lalu dikenakan pajak 10 persen dari harga setelah diskon.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</si>
  <si>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</si>
  <si>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</si>
  <si>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</si>
  <si>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</si>
  <si>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</si>
  <si>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</si>
  <si>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</si>
  <si>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</si>
  <si>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</si>
  <si>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</si>
  <si>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</si>
  <si>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</si>
  <si>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</si>
  <si>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</si>
  <si>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</si>
  <si>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</si>
  <si>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</si>
  <si>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</si>
  <si>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</si>
  <si>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</si>
  <si>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lama menginap dalam malam: tanggal check-out dikurangi check-in.</t>
  </si>
  <si>
    <t xml:space="preserve">Sheet Data, kolom F (Lama (malam)), baris 2 sampai 31</t>
  </si>
  <si>
    <t xml:space="preserve">=E2-D2</t>
  </si>
  <si>
    <t xml:space="preserve">2</t>
  </si>
  <si>
    <t xml:space="preserve">Ambil tarif per malam dari tabel tipe kamar di sheet Acuan.</t>
  </si>
  <si>
    <t xml:space="preserve">Sheet Data, kolom G (Tarif per Malam), baris 2 sampai 31</t>
  </si>
  <si>
    <t xml:space="preserve">=VLOOKUP(C2;Acuan!$A$2:$B$4;2;FALSE)</t>
  </si>
  <si>
    <t xml:space="preserve">3</t>
  </si>
  <si>
    <t xml:space="preserve">Hitung biaya kamar: lama menginap dikali tarif per malam.</t>
  </si>
  <si>
    <t xml:space="preserve">Sheet Data, kolom H (Biaya Kamar), baris 2 sampai 31</t>
  </si>
  <si>
    <t xml:space="preserve">=F2*G2</t>
  </si>
  <si>
    <t xml:space="preserve">4</t>
  </si>
  <si>
    <t xml:space="preserve">Beri diskon bila lama menginap sama dengan atau lebih dari minimal malam: biaya kamar dikali persen diskon. Selain itu 0.</t>
  </si>
  <si>
    <t xml:space="preserve">Sheet Data, kolom I (Diskon), baris 2 sampai 31</t>
  </si>
  <si>
    <t xml:space="preserve">=IF(F2&gt;=$O$2;ROUND(H2*$O$3;0);0)</t>
  </si>
  <si>
    <t xml:space="preserve">5</t>
  </si>
  <si>
    <t xml:space="preserve">Hitung pajak: (biaya kamar dikurangi diskon) dikali persen pajak.</t>
  </si>
  <si>
    <t xml:space="preserve">Sheet Data, kolom J (Pajak), baris 2 sampai 31</t>
  </si>
  <si>
    <t xml:space="preserve">=ROUND((H2-I2)*$O$4;0)</t>
  </si>
  <si>
    <t xml:space="preserve">6</t>
  </si>
  <si>
    <t xml:space="preserve">Hitung total tagihan: biaya kamar dikurangi diskon, ditambah pajak.</t>
  </si>
  <si>
    <t xml:space="preserve">Sheet Data, kolom K (Total Tagihan), baris 2 sampai 31</t>
  </si>
  <si>
    <t xml:space="preserve">=H2-I2+J2</t>
  </si>
  <si>
    <t xml:space="preserve">7</t>
  </si>
  <si>
    <t xml:space="preserve">Tuliskan nama hari check-in dalam bahasa Indonesia.</t>
  </si>
  <si>
    <t xml:space="preserve">Sheet Data, kolom L (Hari Check-in), baris 2 sampai 31</t>
  </si>
  <si>
    <t xml:space="preserve">=CHOOSE(WEEKDAY(D2;2);"Senin";"Selasa";"Rabu";"Kamis";"Jumat";"Sabtu";"Minggu")</t>
  </si>
  <si>
    <t xml:space="preserve">8</t>
  </si>
  <si>
    <t xml:space="preserve">Berapa total pendapatan dari seluruh tagihan, dan berapa total pajak yang dipungut?</t>
  </si>
  <si>
    <t xml:space="preserve">Sheet Ringkasan, sel C4 sampai C5</t>
  </si>
  <si>
    <t xml:space="preserve">=SUM(Data!$K$2:$K$31)
=SUM(Data!$J$2:$J$31)</t>
  </si>
  <si>
    <t xml:space="preserve">9</t>
  </si>
  <si>
    <t xml:space="preserve">Berapa reservasi yang mendapat diskon?</t>
  </si>
  <si>
    <t xml:space="preserve">Sheet Ringkasan, sel C6</t>
  </si>
  <si>
    <t xml:space="preserve">=COUNTIF(Data!$I$2:$I$31;"&gt;0")</t>
  </si>
  <si>
    <t xml:space="preserve">10</t>
  </si>
  <si>
    <t xml:space="preserve">Berapa rata-rata lama menginap (malam)?</t>
  </si>
  <si>
    <t xml:space="preserve">Sheet Ringkasan, sel C7</t>
  </si>
  <si>
    <t xml:space="preserve">=AVERAGE(Data!$F$2:$F$31)</t>
  </si>
  <si>
    <t xml:space="preserve">11</t>
  </si>
  <si>
    <t xml:space="preserve">Berapa reservasi yang check-in pada hari Jumat?</t>
  </si>
  <si>
    <t xml:space="preserve">Sheet Ringkasan, sel C8</t>
  </si>
  <si>
    <t xml:space="preserve">=COUNTIF(Data!$L$2:$L$31;"Jumat")</t>
  </si>
  <si>
    <t xml:space="preserve">12</t>
  </si>
  <si>
    <t xml:space="preserve">Pada sheet Acuan, hitung jumlah reservasi tiap tipe kamar.</t>
  </si>
  <si>
    <t xml:space="preserve">Sheet Acuan, kolom C (Jumlah Reservasi), baris 2 sampai 4</t>
  </si>
  <si>
    <t xml:space="preserve">=COUNTIF(Data!$C$2:$C$31;A2)</t>
  </si>
  <si>
    <t xml:space="preserve">13</t>
  </si>
  <si>
    <t xml:space="preserve">Pada sheet Acuan, hitung total pendapatan tiap tipe kamar.</t>
  </si>
  <si>
    <t xml:space="preserve">Sheet Acuan, kolom D (Total Pendapatan), baris 2 sampai 4</t>
  </si>
  <si>
    <t xml:space="preserve">=SUMIF(Data!$C$2:$C$31;A2;Data!$K$2:$K$31)</t>
  </si>
  <si>
    <t xml:space="preserve">14</t>
  </si>
  <si>
    <t xml:space="preserve">Tipe kamar mana yang menghasilkan pendapatan terbesar?</t>
  </si>
  <si>
    <t xml:space="preserve">Sheet Ringkasan, sel C9</t>
  </si>
  <si>
    <t xml:space="preserve">=INDEX(Acuan!$A$2:$A$4;MATCH(MAX(Acuan!$D$2:$D$4);Acuan!$D$2:$D$4;0))</t>
  </si>
  <si>
    <t xml:space="preserve">Nama Tamu</t>
  </si>
  <si>
    <t xml:space="preserve">Tipe Kamar</t>
  </si>
  <si>
    <t xml:space="preserve">Check-in</t>
  </si>
  <si>
    <t xml:space="preserve">Check-out</t>
  </si>
  <si>
    <t xml:space="preserve">Lama (malam)</t>
  </si>
  <si>
    <t xml:space="preserve">Tarif per Malam</t>
  </si>
  <si>
    <t xml:space="preserve">Biaya Kamar</t>
  </si>
  <si>
    <t xml:space="preserve">Diskon</t>
  </si>
  <si>
    <t xml:space="preserve">Pajak</t>
  </si>
  <si>
    <t xml:space="preserve">Total Tagihan</t>
  </si>
  <si>
    <t xml:space="preserve">Hari Check-in</t>
  </si>
  <si>
    <t xml:space="preserve">Parameter</t>
  </si>
  <si>
    <t xml:space="preserve">Nilai</t>
  </si>
  <si>
    <t xml:space="preserve">Keterangan</t>
  </si>
  <si>
    <t xml:space="preserve">Ahmad Kurniawan</t>
  </si>
  <si>
    <t xml:space="preserve">Standard</t>
  </si>
  <si>
    <t xml:space="preserve">Minimal malam untuk diskon</t>
  </si>
  <si>
    <t xml:space="preserve">Sama dengan atau lebih dari angka ini</t>
  </si>
  <si>
    <t xml:space="preserve">Gunawan Ramadhan</t>
  </si>
  <si>
    <t xml:space="preserve">Suite</t>
  </si>
  <si>
    <t xml:space="preserve">Persen dari biaya kamar</t>
  </si>
  <si>
    <t xml:space="preserve">Umar Wibowo</t>
  </si>
  <si>
    <t xml:space="preserve">Persen dari biaya setelah diskon</t>
  </si>
  <si>
    <t xml:space="preserve">Bayu Ramadhan</t>
  </si>
  <si>
    <t xml:space="preserve">Deluxe</t>
  </si>
  <si>
    <t xml:space="preserve">Hana Nugroho</t>
  </si>
  <si>
    <t xml:space="preserve">Rani Handayani</t>
  </si>
  <si>
    <t xml:space="preserve">Maya Nugroho</t>
  </si>
  <si>
    <t xml:space="preserve">Joko Ramadhan</t>
  </si>
  <si>
    <t xml:space="preserve">Vina Syahputra</t>
  </si>
  <si>
    <t xml:space="preserve">Lia Syahputra</t>
  </si>
  <si>
    <t xml:space="preserve">Sinta Susanto</t>
  </si>
  <si>
    <t xml:space="preserve">Tika Maulana</t>
  </si>
  <si>
    <t xml:space="preserve">Bayu Wijaya</t>
  </si>
  <si>
    <t xml:space="preserve">Indra Handayani</t>
  </si>
  <si>
    <t xml:space="preserve">Joko Nugroho</t>
  </si>
  <si>
    <t xml:space="preserve">Teguh Syahputra</t>
  </si>
  <si>
    <t xml:space="preserve">Sinta Pratama</t>
  </si>
  <si>
    <t xml:space="preserve">Umar Purnomo</t>
  </si>
  <si>
    <t xml:space="preserve">Ratna Purnomo</t>
  </si>
  <si>
    <t xml:space="preserve">Maya Hidayat</t>
  </si>
  <si>
    <t xml:space="preserve">Jamal Nugroho</t>
  </si>
  <si>
    <t xml:space="preserve">Ayu Purnomo</t>
  </si>
  <si>
    <t xml:space="preserve">Mulyadi Nugroho</t>
  </si>
  <si>
    <t xml:space="preserve">Putri Susanto</t>
  </si>
  <si>
    <t xml:space="preserve">Budi Susanto</t>
  </si>
  <si>
    <t xml:space="preserve">Nurul Anggraini</t>
  </si>
  <si>
    <t xml:space="preserve">Jamal Handayani</t>
  </si>
  <si>
    <t xml:space="preserve">Zainal Pratama</t>
  </si>
  <si>
    <t xml:space="preserve">Tika Kurniawan</t>
  </si>
  <si>
    <t xml:space="preserve">Fajar Saputra</t>
  </si>
  <si>
    <t xml:space="preserve">Jumlah Reservasi</t>
  </si>
  <si>
    <t xml:space="preserve">Total Pendapatan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</si>
  <si>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</si>
  <si>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</si>
  <si>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</si>
  <si>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</si>
  <si>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</si>
  <si>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8a</t>
  </si>
  <si>
    <t xml:space="preserve">Total pendapatan (total tagihan)</t>
  </si>
  <si>
    <t xml:space="preserve">Rupiah, mis. Rp 85.000.000</t>
  </si>
  <si>
    <t xml:space="preserve">8b</t>
  </si>
  <si>
    <t xml:space="preserve">Total pajak yang dipungut</t>
  </si>
  <si>
    <t xml:space="preserve">Jumlah reservasi yang mendapat diskon</t>
  </si>
  <si>
    <t xml:space="preserve">Angka bulat, mis. 12</t>
  </si>
  <si>
    <t xml:space="preserve">Rata-rata lama menginap (malam)</t>
  </si>
  <si>
    <t xml:space="preserve">Desimal 2 angka, mis. 3,40</t>
  </si>
  <si>
    <t xml:space="preserve">Jumlah check-in hari Jumat</t>
  </si>
  <si>
    <t xml:space="preserve">Angka bulat, mis. 5</t>
  </si>
  <si>
    <t xml:space="preserve">Tipe kamar dengan pendapatan terbesar</t>
  </si>
  <si>
    <t xml:space="preserve">Teks: tipe kamar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</si>
</sst>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&quot;Rp &quot;#,##0"/>
    <numFmt numFmtId="168" formatCode="0%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42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  <row r="34" customFormat="false" ht="30" hidden="false" customHeight="true" outlineLevel="0" collapsed="false">
      <c r="A34" s="13" t="s">
        <v>75</v>
      </c>
      <c r="B34" s="14" t="s">
        <v>76</v>
      </c>
      <c r="C34" s="14" t="s">
        <v>77</v>
      </c>
      <c r="D34" s="15" t="s">
        <v>78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79</v>
      </c>
      <c r="C1" s="12" t="s">
        <v>80</v>
      </c>
      <c r="D1" s="12" t="s">
        <v>81</v>
      </c>
      <c r="E1" s="12" t="s">
        <v>82</v>
      </c>
      <c r="F1" s="16" t="s">
        <v>83</v>
      </c>
      <c r="G1" s="16" t="s">
        <v>84</v>
      </c>
      <c r="H1" s="16" t="s">
        <v>85</v>
      </c>
      <c r="I1" s="16" t="s">
        <v>86</v>
      </c>
      <c r="J1" s="16" t="s">
        <v>87</v>
      </c>
      <c r="K1" s="16" t="s">
        <v>88</v>
      </c>
      <c r="L1" s="16" t="s">
        <v>89</v>
      </c>
      <c r="N1" s="17" t="s">
        <v>90</v>
      </c>
      <c r="O1" s="17" t="s">
        <v>91</v>
      </c>
      <c r="P1" s="17" t="s">
        <v>92</v>
      </c>
    </row>
    <row r="2" customFormat="false" ht="15" hidden="false" customHeight="false" outlineLevel="0" collapsed="false">
      <c r="A2" s="18" t="n">
        <v>1</v>
      </c>
      <c r="B2" s="19" t="s">
        <v>93</v>
      </c>
      <c r="C2" s="19" t="s">
        <v>94</v>
      </c>
      <c r="D2" s="20" t="n">
        <v>46327</v>
      </c>
      <c r="E2" s="20" t="n">
        <v>46329</v>
      </c>
      <c r="F2" s="21" t="n">
        <f aca="false">E2-D2</f>
        <v>2</v>
      </c>
      <c r="G2" s="22" t="n">
        <f aca="false">VLOOKUP(C2,Acuan!$A$2:$B$4,2,FALSE())</f>
        <v>400000</v>
      </c>
      <c r="H2" s="22" t="n">
        <f aca="false">F2*G2</f>
        <v>800000</v>
      </c>
      <c r="I2" s="22" t="n">
        <f aca="false">IF(F2&gt;=$O$2,ROUND(H2*$O$3,0),0)</f>
        <v>0</v>
      </c>
      <c r="J2" s="22" t="n">
        <f aca="false">ROUND((H2-I2)*$O$4,0)</f>
        <v>80000</v>
      </c>
      <c r="K2" s="22" t="n">
        <f aca="false">H2-I2+J2</f>
        <v>880000</v>
      </c>
      <c r="L2" s="23" t="str">
        <f aca="false">CHOOSE(WEEKDAY(D2,2),"Senin","Selasa","Rabu","Kamis","Jumat","Sabtu","Minggu")</f>
        <v>Minggu</v>
      </c>
      <c r="N2" s="24" t="s">
        <v>95</v>
      </c>
      <c r="O2" s="25" t="n">
        <v>3</v>
      </c>
      <c r="P2" s="26" t="s">
        <v>96</v>
      </c>
    </row>
    <row r="3" customFormat="false" ht="15" hidden="false" customHeight="false" outlineLevel="0" collapsed="false">
      <c r="A3" s="18" t="n">
        <v>2</v>
      </c>
      <c r="B3" s="19" t="s">
        <v>97</v>
      </c>
      <c r="C3" s="19" t="s">
        <v>98</v>
      </c>
      <c r="D3" s="20" t="n">
        <v>46334</v>
      </c>
      <c r="E3" s="20" t="n">
        <v>46336</v>
      </c>
      <c r="F3" s="21" t="n">
        <f aca="false">E3-D3</f>
        <v>2</v>
      </c>
      <c r="G3" s="22" t="n">
        <f aca="false">VLOOKUP(C3,Acuan!$A$2:$B$4,2,FALSE())</f>
        <v>1200000</v>
      </c>
      <c r="H3" s="22" t="n">
        <f aca="false">F3*G3</f>
        <v>2400000</v>
      </c>
      <c r="I3" s="22" t="n">
        <f aca="false">IF(F3&gt;=$O$2,ROUND(H3*$O$3,0),0)</f>
        <v>0</v>
      </c>
      <c r="J3" s="22" t="n">
        <f aca="false">ROUND((H3-I3)*$O$4,0)</f>
        <v>240000</v>
      </c>
      <c r="K3" s="22" t="n">
        <f aca="false">H3-I3+J3</f>
        <v>2640000</v>
      </c>
      <c r="L3" s="23" t="str">
        <f aca="false">CHOOSE(WEEKDAY(D3,2),"Senin","Selasa","Rabu","Kamis","Jumat","Sabtu","Minggu")</f>
        <v>Minggu</v>
      </c>
      <c r="N3" s="24" t="s">
        <v>86</v>
      </c>
      <c r="O3" s="27" t="n">
        <v>0.1</v>
      </c>
      <c r="P3" s="26" t="s">
        <v>99</v>
      </c>
    </row>
    <row r="4" customFormat="false" ht="15" hidden="false" customHeight="false" outlineLevel="0" collapsed="false">
      <c r="A4" s="18" t="n">
        <v>3</v>
      </c>
      <c r="B4" s="19" t="s">
        <v>100</v>
      </c>
      <c r="C4" s="19" t="s">
        <v>94</v>
      </c>
      <c r="D4" s="20" t="n">
        <v>46339</v>
      </c>
      <c r="E4" s="20" t="n">
        <v>46344</v>
      </c>
      <c r="F4" s="21" t="n">
        <f aca="false">E4-D4</f>
        <v>5</v>
      </c>
      <c r="G4" s="22" t="n">
        <f aca="false">VLOOKUP(C4,Acuan!$A$2:$B$4,2,FALSE())</f>
        <v>400000</v>
      </c>
      <c r="H4" s="22" t="n">
        <f aca="false">F4*G4</f>
        <v>2000000</v>
      </c>
      <c r="I4" s="22" t="n">
        <f aca="false">IF(F4&gt;=$O$2,ROUND(H4*$O$3,0),0)</f>
        <v>200000</v>
      </c>
      <c r="J4" s="22" t="n">
        <f aca="false">ROUND((H4-I4)*$O$4,0)</f>
        <v>180000</v>
      </c>
      <c r="K4" s="22" t="n">
        <f aca="false">H4-I4+J4</f>
        <v>1980000</v>
      </c>
      <c r="L4" s="23" t="str">
        <f aca="false">CHOOSE(WEEKDAY(D4,2),"Senin","Selasa","Rabu","Kamis","Jumat","Sabtu","Minggu")</f>
        <v>Jumat</v>
      </c>
      <c r="N4" s="24" t="s">
        <v>87</v>
      </c>
      <c r="O4" s="27" t="n">
        <v>0.1</v>
      </c>
      <c r="P4" s="26" t="s">
        <v>101</v>
      </c>
    </row>
    <row r="5" customFormat="false" ht="15" hidden="false" customHeight="false" outlineLevel="0" collapsed="false">
      <c r="A5" s="18" t="n">
        <v>4</v>
      </c>
      <c r="B5" s="19" t="s">
        <v>102</v>
      </c>
      <c r="C5" s="19" t="s">
        <v>103</v>
      </c>
      <c r="D5" s="20" t="n">
        <v>46340</v>
      </c>
      <c r="E5" s="20" t="n">
        <v>46345</v>
      </c>
      <c r="F5" s="21" t="n">
        <f aca="false">E5-D5</f>
        <v>5</v>
      </c>
      <c r="G5" s="22" t="n">
        <f aca="false">VLOOKUP(C5,Acuan!$A$2:$B$4,2,FALSE())</f>
        <v>650000</v>
      </c>
      <c r="H5" s="22" t="n">
        <f aca="false">F5*G5</f>
        <v>3250000</v>
      </c>
      <c r="I5" s="22" t="n">
        <f aca="false">IF(F5&gt;=$O$2,ROUND(H5*$O$3,0),0)</f>
        <v>325000</v>
      </c>
      <c r="J5" s="22" t="n">
        <f aca="false">ROUND((H5-I5)*$O$4,0)</f>
        <v>292500</v>
      </c>
      <c r="K5" s="22" t="n">
        <f aca="false">H5-I5+J5</f>
        <v>3217500</v>
      </c>
      <c r="L5" s="23" t="str">
        <f aca="false">CHOOSE(WEEKDAY(D5,2),"Senin","Selasa","Rabu","Kamis","Jumat","Sabtu","Minggu")</f>
        <v>Sabtu</v>
      </c>
    </row>
    <row r="6" customFormat="false" ht="15" hidden="false" customHeight="false" outlineLevel="0" collapsed="false">
      <c r="A6" s="18" t="n">
        <v>5</v>
      </c>
      <c r="B6" s="19" t="s">
        <v>104</v>
      </c>
      <c r="C6" s="19" t="s">
        <v>94</v>
      </c>
      <c r="D6" s="20" t="n">
        <v>46342</v>
      </c>
      <c r="E6" s="20" t="n">
        <v>46345</v>
      </c>
      <c r="F6" s="21" t="n">
        <f aca="false">E6-D6</f>
        <v>3</v>
      </c>
      <c r="G6" s="22" t="n">
        <f aca="false">VLOOKUP(C6,Acuan!$A$2:$B$4,2,FALSE())</f>
        <v>400000</v>
      </c>
      <c r="H6" s="22" t="n">
        <f aca="false">F6*G6</f>
        <v>1200000</v>
      </c>
      <c r="I6" s="22" t="n">
        <f aca="false">IF(F6&gt;=$O$2,ROUND(H6*$O$3,0),0)</f>
        <v>120000</v>
      </c>
      <c r="J6" s="22" t="n">
        <f aca="false">ROUND((H6-I6)*$O$4,0)</f>
        <v>108000</v>
      </c>
      <c r="K6" s="22" t="n">
        <f aca="false">H6-I6+J6</f>
        <v>1188000</v>
      </c>
      <c r="L6" s="23" t="str">
        <f aca="false">CHOOSE(WEEKDAY(D6,2),"Senin","Selasa","Rabu","Kamis","Jumat","Sabtu","Minggu")</f>
        <v>Senin</v>
      </c>
    </row>
    <row r="7" customFormat="false" ht="15" hidden="false" customHeight="false" outlineLevel="0" collapsed="false">
      <c r="A7" s="18" t="n">
        <v>6</v>
      </c>
      <c r="B7" s="19" t="s">
        <v>105</v>
      </c>
      <c r="C7" s="19" t="s">
        <v>98</v>
      </c>
      <c r="D7" s="20" t="n">
        <v>46344</v>
      </c>
      <c r="E7" s="20" t="n">
        <v>46348</v>
      </c>
      <c r="F7" s="21" t="n">
        <f aca="false">E7-D7</f>
        <v>4</v>
      </c>
      <c r="G7" s="22" t="n">
        <f aca="false">VLOOKUP(C7,Acuan!$A$2:$B$4,2,FALSE())</f>
        <v>1200000</v>
      </c>
      <c r="H7" s="22" t="n">
        <f aca="false">F7*G7</f>
        <v>4800000</v>
      </c>
      <c r="I7" s="22" t="n">
        <f aca="false">IF(F7&gt;=$O$2,ROUND(H7*$O$3,0),0)</f>
        <v>480000</v>
      </c>
      <c r="J7" s="22" t="n">
        <f aca="false">ROUND((H7-I7)*$O$4,0)</f>
        <v>432000</v>
      </c>
      <c r="K7" s="22" t="n">
        <f aca="false">H7-I7+J7</f>
        <v>4752000</v>
      </c>
      <c r="L7" s="23" t="str">
        <f aca="false">CHOOSE(WEEKDAY(D7,2),"Senin","Selasa","Rabu","Kamis","Jumat","Sabtu","Minggu")</f>
        <v>Rabu</v>
      </c>
    </row>
    <row r="8" customFormat="false" ht="15" hidden="false" customHeight="false" outlineLevel="0" collapsed="false">
      <c r="A8" s="18" t="n">
        <v>7</v>
      </c>
      <c r="B8" s="19" t="s">
        <v>106</v>
      </c>
      <c r="C8" s="19" t="s">
        <v>94</v>
      </c>
      <c r="D8" s="20" t="n">
        <v>46347</v>
      </c>
      <c r="E8" s="20" t="n">
        <v>46348</v>
      </c>
      <c r="F8" s="21" t="n">
        <f aca="false">E8-D8</f>
        <v>1</v>
      </c>
      <c r="G8" s="22" t="n">
        <f aca="false">VLOOKUP(C8,Acuan!$A$2:$B$4,2,FALSE())</f>
        <v>400000</v>
      </c>
      <c r="H8" s="22" t="n">
        <f aca="false">F8*G8</f>
        <v>400000</v>
      </c>
      <c r="I8" s="22" t="n">
        <f aca="false">IF(F8&gt;=$O$2,ROUND(H8*$O$3,0),0)</f>
        <v>0</v>
      </c>
      <c r="J8" s="22" t="n">
        <f aca="false">ROUND((H8-I8)*$O$4,0)</f>
        <v>40000</v>
      </c>
      <c r="K8" s="22" t="n">
        <f aca="false">H8-I8+J8</f>
        <v>440000</v>
      </c>
      <c r="L8" s="23" t="str">
        <f aca="false">CHOOSE(WEEKDAY(D8,2),"Senin","Selasa","Rabu","Kamis","Jumat","Sabtu","Minggu")</f>
        <v>Sabtu</v>
      </c>
    </row>
    <row r="9" customFormat="false" ht="15" hidden="false" customHeight="false" outlineLevel="0" collapsed="false">
      <c r="A9" s="18" t="n">
        <v>8</v>
      </c>
      <c r="B9" s="19" t="s">
        <v>107</v>
      </c>
      <c r="C9" s="19" t="s">
        <v>103</v>
      </c>
      <c r="D9" s="20" t="n">
        <v>46348</v>
      </c>
      <c r="E9" s="20" t="n">
        <v>46349</v>
      </c>
      <c r="F9" s="21" t="n">
        <f aca="false">E9-D9</f>
        <v>1</v>
      </c>
      <c r="G9" s="22" t="n">
        <f aca="false">VLOOKUP(C9,Acuan!$A$2:$B$4,2,FALSE())</f>
        <v>650000</v>
      </c>
      <c r="H9" s="22" t="n">
        <f aca="false">F9*G9</f>
        <v>650000</v>
      </c>
      <c r="I9" s="22" t="n">
        <f aca="false">IF(F9&gt;=$O$2,ROUND(H9*$O$3,0),0)</f>
        <v>0</v>
      </c>
      <c r="J9" s="22" t="n">
        <f aca="false">ROUND((H9-I9)*$O$4,0)</f>
        <v>65000</v>
      </c>
      <c r="K9" s="22" t="n">
        <f aca="false">H9-I9+J9</f>
        <v>715000</v>
      </c>
      <c r="L9" s="23" t="str">
        <f aca="false">CHOOSE(WEEKDAY(D9,2),"Senin","Selasa","Rabu","Kamis","Jumat","Sabtu","Minggu")</f>
        <v>Minggu</v>
      </c>
    </row>
    <row r="10" customFormat="false" ht="15" hidden="false" customHeight="false" outlineLevel="0" collapsed="false">
      <c r="A10" s="18" t="n">
        <v>9</v>
      </c>
      <c r="B10" s="19" t="s">
        <v>108</v>
      </c>
      <c r="C10" s="19" t="s">
        <v>103</v>
      </c>
      <c r="D10" s="20" t="n">
        <v>46348</v>
      </c>
      <c r="E10" s="20" t="n">
        <v>46350</v>
      </c>
      <c r="F10" s="21" t="n">
        <f aca="false">E10-D10</f>
        <v>2</v>
      </c>
      <c r="G10" s="22" t="n">
        <f aca="false">VLOOKUP(C10,Acuan!$A$2:$B$4,2,FALSE())</f>
        <v>650000</v>
      </c>
      <c r="H10" s="22" t="n">
        <f aca="false">F10*G10</f>
        <v>1300000</v>
      </c>
      <c r="I10" s="22" t="n">
        <f aca="false">IF(F10&gt;=$O$2,ROUND(H10*$O$3,0),0)</f>
        <v>0</v>
      </c>
      <c r="J10" s="22" t="n">
        <f aca="false">ROUND((H10-I10)*$O$4,0)</f>
        <v>130000</v>
      </c>
      <c r="K10" s="22" t="n">
        <f aca="false">H10-I10+J10</f>
        <v>1430000</v>
      </c>
      <c r="L10" s="23" t="str">
        <f aca="false">CHOOSE(WEEKDAY(D10,2),"Senin","Selasa","Rabu","Kamis","Jumat","Sabtu","Minggu")</f>
        <v>Minggu</v>
      </c>
    </row>
    <row r="11" customFormat="false" ht="15" hidden="false" customHeight="false" outlineLevel="0" collapsed="false">
      <c r="A11" s="18" t="n">
        <v>10</v>
      </c>
      <c r="B11" s="19" t="s">
        <v>109</v>
      </c>
      <c r="C11" s="19" t="s">
        <v>94</v>
      </c>
      <c r="D11" s="20" t="n">
        <v>46348</v>
      </c>
      <c r="E11" s="20" t="n">
        <v>46354</v>
      </c>
      <c r="F11" s="21" t="n">
        <f aca="false">E11-D11</f>
        <v>6</v>
      </c>
      <c r="G11" s="22" t="n">
        <f aca="false">VLOOKUP(C11,Acuan!$A$2:$B$4,2,FALSE())</f>
        <v>400000</v>
      </c>
      <c r="H11" s="22" t="n">
        <f aca="false">F11*G11</f>
        <v>2400000</v>
      </c>
      <c r="I11" s="22" t="n">
        <f aca="false">IF(F11&gt;=$O$2,ROUND(H11*$O$3,0),0)</f>
        <v>240000</v>
      </c>
      <c r="J11" s="22" t="n">
        <f aca="false">ROUND((H11-I11)*$O$4,0)</f>
        <v>216000</v>
      </c>
      <c r="K11" s="22" t="n">
        <f aca="false">H11-I11+J11</f>
        <v>2376000</v>
      </c>
      <c r="L11" s="23" t="str">
        <f aca="false">CHOOSE(WEEKDAY(D11,2),"Senin","Selasa","Rabu","Kamis","Jumat","Sabtu","Minggu")</f>
        <v>Minggu</v>
      </c>
    </row>
    <row r="12" customFormat="false" ht="15" hidden="false" customHeight="false" outlineLevel="0" collapsed="false">
      <c r="A12" s="18" t="n">
        <v>11</v>
      </c>
      <c r="B12" s="19" t="s">
        <v>110</v>
      </c>
      <c r="C12" s="19" t="s">
        <v>103</v>
      </c>
      <c r="D12" s="20" t="n">
        <v>46349</v>
      </c>
      <c r="E12" s="20" t="n">
        <v>46351</v>
      </c>
      <c r="F12" s="21" t="n">
        <f aca="false">E12-D12</f>
        <v>2</v>
      </c>
      <c r="G12" s="22" t="n">
        <f aca="false">VLOOKUP(C12,Acuan!$A$2:$B$4,2,FALSE())</f>
        <v>650000</v>
      </c>
      <c r="H12" s="22" t="n">
        <f aca="false">F12*G12</f>
        <v>1300000</v>
      </c>
      <c r="I12" s="22" t="n">
        <f aca="false">IF(F12&gt;=$O$2,ROUND(H12*$O$3,0),0)</f>
        <v>0</v>
      </c>
      <c r="J12" s="22" t="n">
        <f aca="false">ROUND((H12-I12)*$O$4,0)</f>
        <v>130000</v>
      </c>
      <c r="K12" s="22" t="n">
        <f aca="false">H12-I12+J12</f>
        <v>1430000</v>
      </c>
      <c r="L12" s="23" t="str">
        <f aca="false">CHOOSE(WEEKDAY(D12,2),"Senin","Selasa","Rabu","Kamis","Jumat","Sabtu","Minggu")</f>
        <v>Senin</v>
      </c>
    </row>
    <row r="13" customFormat="false" ht="15" hidden="false" customHeight="false" outlineLevel="0" collapsed="false">
      <c r="A13" s="18" t="n">
        <v>12</v>
      </c>
      <c r="B13" s="19" t="s">
        <v>111</v>
      </c>
      <c r="C13" s="19" t="s">
        <v>94</v>
      </c>
      <c r="D13" s="20" t="n">
        <v>46350</v>
      </c>
      <c r="E13" s="20" t="n">
        <v>46352</v>
      </c>
      <c r="F13" s="21" t="n">
        <f aca="false">E13-D13</f>
        <v>2</v>
      </c>
      <c r="G13" s="22" t="n">
        <f aca="false">VLOOKUP(C13,Acuan!$A$2:$B$4,2,FALSE())</f>
        <v>400000</v>
      </c>
      <c r="H13" s="22" t="n">
        <f aca="false">F13*G13</f>
        <v>800000</v>
      </c>
      <c r="I13" s="22" t="n">
        <f aca="false">IF(F13&gt;=$O$2,ROUND(H13*$O$3,0),0)</f>
        <v>0</v>
      </c>
      <c r="J13" s="22" t="n">
        <f aca="false">ROUND((H13-I13)*$O$4,0)</f>
        <v>80000</v>
      </c>
      <c r="K13" s="22" t="n">
        <f aca="false">H13-I13+J13</f>
        <v>880000</v>
      </c>
      <c r="L13" s="23" t="str">
        <f aca="false">CHOOSE(WEEKDAY(D13,2),"Senin","Selasa","Rabu","Kamis","Jumat","Sabtu","Minggu")</f>
        <v>Selasa</v>
      </c>
    </row>
    <row r="14" customFormat="false" ht="15" hidden="false" customHeight="false" outlineLevel="0" collapsed="false">
      <c r="A14" s="18" t="n">
        <v>13</v>
      </c>
      <c r="B14" s="19" t="s">
        <v>112</v>
      </c>
      <c r="C14" s="19" t="s">
        <v>94</v>
      </c>
      <c r="D14" s="20" t="n">
        <v>46353</v>
      </c>
      <c r="E14" s="20" t="n">
        <v>46355</v>
      </c>
      <c r="F14" s="21" t="n">
        <f aca="false">E14-D14</f>
        <v>2</v>
      </c>
      <c r="G14" s="22" t="n">
        <f aca="false">VLOOKUP(C14,Acuan!$A$2:$B$4,2,FALSE())</f>
        <v>400000</v>
      </c>
      <c r="H14" s="22" t="n">
        <f aca="false">F14*G14</f>
        <v>800000</v>
      </c>
      <c r="I14" s="22" t="n">
        <f aca="false">IF(F14&gt;=$O$2,ROUND(H14*$O$3,0),0)</f>
        <v>0</v>
      </c>
      <c r="J14" s="22" t="n">
        <f aca="false">ROUND((H14-I14)*$O$4,0)</f>
        <v>80000</v>
      </c>
      <c r="K14" s="22" t="n">
        <f aca="false">H14-I14+J14</f>
        <v>880000</v>
      </c>
      <c r="L14" s="23" t="str">
        <f aca="false">CHOOSE(WEEKDAY(D14,2),"Senin","Selasa","Rabu","Kamis","Jumat","Sabtu","Minggu")</f>
        <v>Jumat</v>
      </c>
    </row>
    <row r="15" customFormat="false" ht="15" hidden="false" customHeight="false" outlineLevel="0" collapsed="false">
      <c r="A15" s="18" t="n">
        <v>14</v>
      </c>
      <c r="B15" s="19" t="s">
        <v>113</v>
      </c>
      <c r="C15" s="19" t="s">
        <v>94</v>
      </c>
      <c r="D15" s="20" t="n">
        <v>46354</v>
      </c>
      <c r="E15" s="20" t="n">
        <v>46360</v>
      </c>
      <c r="F15" s="21" t="n">
        <f aca="false">E15-D15</f>
        <v>6</v>
      </c>
      <c r="G15" s="22" t="n">
        <f aca="false">VLOOKUP(C15,Acuan!$A$2:$B$4,2,FALSE())</f>
        <v>400000</v>
      </c>
      <c r="H15" s="22" t="n">
        <f aca="false">F15*G15</f>
        <v>2400000</v>
      </c>
      <c r="I15" s="22" t="n">
        <f aca="false">IF(F15&gt;=$O$2,ROUND(H15*$O$3,0),0)</f>
        <v>240000</v>
      </c>
      <c r="J15" s="22" t="n">
        <f aca="false">ROUND((H15-I15)*$O$4,0)</f>
        <v>216000</v>
      </c>
      <c r="K15" s="22" t="n">
        <f aca="false">H15-I15+J15</f>
        <v>2376000</v>
      </c>
      <c r="L15" s="23" t="str">
        <f aca="false">CHOOSE(WEEKDAY(D15,2),"Senin","Selasa","Rabu","Kamis","Jumat","Sabtu","Minggu")</f>
        <v>Sabtu</v>
      </c>
    </row>
    <row r="16" customFormat="false" ht="15" hidden="false" customHeight="false" outlineLevel="0" collapsed="false">
      <c r="A16" s="18" t="n">
        <v>15</v>
      </c>
      <c r="B16" s="19" t="s">
        <v>114</v>
      </c>
      <c r="C16" s="19" t="s">
        <v>98</v>
      </c>
      <c r="D16" s="20" t="n">
        <v>46355</v>
      </c>
      <c r="E16" s="20" t="n">
        <v>46358</v>
      </c>
      <c r="F16" s="21" t="n">
        <f aca="false">E16-D16</f>
        <v>3</v>
      </c>
      <c r="G16" s="22" t="n">
        <f aca="false">VLOOKUP(C16,Acuan!$A$2:$B$4,2,FALSE())</f>
        <v>1200000</v>
      </c>
      <c r="H16" s="22" t="n">
        <f aca="false">F16*G16</f>
        <v>3600000</v>
      </c>
      <c r="I16" s="22" t="n">
        <f aca="false">IF(F16&gt;=$O$2,ROUND(H16*$O$3,0),0)</f>
        <v>360000</v>
      </c>
      <c r="J16" s="22" t="n">
        <f aca="false">ROUND((H16-I16)*$O$4,0)</f>
        <v>324000</v>
      </c>
      <c r="K16" s="22" t="n">
        <f aca="false">H16-I16+J16</f>
        <v>3564000</v>
      </c>
      <c r="L16" s="23" t="str">
        <f aca="false">CHOOSE(WEEKDAY(D16,2),"Senin","Selasa","Rabu","Kamis","Jumat","Sabtu","Minggu")</f>
        <v>Minggu</v>
      </c>
    </row>
    <row r="17" customFormat="false" ht="15" hidden="false" customHeight="false" outlineLevel="0" collapsed="false">
      <c r="A17" s="18" t="n">
        <v>16</v>
      </c>
      <c r="B17" s="19" t="s">
        <v>115</v>
      </c>
      <c r="C17" s="19" t="s">
        <v>94</v>
      </c>
      <c r="D17" s="20" t="n">
        <v>46355</v>
      </c>
      <c r="E17" s="20" t="n">
        <v>46356</v>
      </c>
      <c r="F17" s="21" t="n">
        <f aca="false">E17-D17</f>
        <v>1</v>
      </c>
      <c r="G17" s="22" t="n">
        <f aca="false">VLOOKUP(C17,Acuan!$A$2:$B$4,2,FALSE())</f>
        <v>400000</v>
      </c>
      <c r="H17" s="22" t="n">
        <f aca="false">F17*G17</f>
        <v>400000</v>
      </c>
      <c r="I17" s="22" t="n">
        <f aca="false">IF(F17&gt;=$O$2,ROUND(H17*$O$3,0),0)</f>
        <v>0</v>
      </c>
      <c r="J17" s="22" t="n">
        <f aca="false">ROUND((H17-I17)*$O$4,0)</f>
        <v>40000</v>
      </c>
      <c r="K17" s="22" t="n">
        <f aca="false">H17-I17+J17</f>
        <v>440000</v>
      </c>
      <c r="L17" s="23" t="str">
        <f aca="false">CHOOSE(WEEKDAY(D17,2),"Senin","Selasa","Rabu","Kamis","Jumat","Sabtu","Minggu")</f>
        <v>Minggu</v>
      </c>
    </row>
    <row r="18" customFormat="false" ht="15" hidden="false" customHeight="false" outlineLevel="0" collapsed="false">
      <c r="A18" s="18" t="n">
        <v>17</v>
      </c>
      <c r="B18" s="19" t="s">
        <v>116</v>
      </c>
      <c r="C18" s="19" t="s">
        <v>103</v>
      </c>
      <c r="D18" s="20" t="n">
        <v>46355</v>
      </c>
      <c r="E18" s="20" t="n">
        <v>46358</v>
      </c>
      <c r="F18" s="21" t="n">
        <f aca="false">E18-D18</f>
        <v>3</v>
      </c>
      <c r="G18" s="22" t="n">
        <f aca="false">VLOOKUP(C18,Acuan!$A$2:$B$4,2,FALSE())</f>
        <v>650000</v>
      </c>
      <c r="H18" s="22" t="n">
        <f aca="false">F18*G18</f>
        <v>1950000</v>
      </c>
      <c r="I18" s="22" t="n">
        <f aca="false">IF(F18&gt;=$O$2,ROUND(H18*$O$3,0),0)</f>
        <v>195000</v>
      </c>
      <c r="J18" s="22" t="n">
        <f aca="false">ROUND((H18-I18)*$O$4,0)</f>
        <v>175500</v>
      </c>
      <c r="K18" s="22" t="n">
        <f aca="false">H18-I18+J18</f>
        <v>1930500</v>
      </c>
      <c r="L18" s="23" t="str">
        <f aca="false">CHOOSE(WEEKDAY(D18,2),"Senin","Selasa","Rabu","Kamis","Jumat","Sabtu","Minggu")</f>
        <v>Minggu</v>
      </c>
    </row>
    <row r="19" customFormat="false" ht="15" hidden="false" customHeight="false" outlineLevel="0" collapsed="false">
      <c r="A19" s="18" t="n">
        <v>18</v>
      </c>
      <c r="B19" s="19" t="s">
        <v>117</v>
      </c>
      <c r="C19" s="19" t="s">
        <v>103</v>
      </c>
      <c r="D19" s="20" t="n">
        <v>46358</v>
      </c>
      <c r="E19" s="20" t="n">
        <v>46359</v>
      </c>
      <c r="F19" s="21" t="n">
        <f aca="false">E19-D19</f>
        <v>1</v>
      </c>
      <c r="G19" s="22" t="n">
        <f aca="false">VLOOKUP(C19,Acuan!$A$2:$B$4,2,FALSE())</f>
        <v>650000</v>
      </c>
      <c r="H19" s="22" t="n">
        <f aca="false">F19*G19</f>
        <v>650000</v>
      </c>
      <c r="I19" s="22" t="n">
        <f aca="false">IF(F19&gt;=$O$2,ROUND(H19*$O$3,0),0)</f>
        <v>0</v>
      </c>
      <c r="J19" s="22" t="n">
        <f aca="false">ROUND((H19-I19)*$O$4,0)</f>
        <v>65000</v>
      </c>
      <c r="K19" s="22" t="n">
        <f aca="false">H19-I19+J19</f>
        <v>715000</v>
      </c>
      <c r="L19" s="23" t="str">
        <f aca="false">CHOOSE(WEEKDAY(D19,2),"Senin","Selasa","Rabu","Kamis","Jumat","Sabtu","Minggu")</f>
        <v>Rabu</v>
      </c>
    </row>
    <row r="20" customFormat="false" ht="15" hidden="false" customHeight="false" outlineLevel="0" collapsed="false">
      <c r="A20" s="18" t="n">
        <v>19</v>
      </c>
      <c r="B20" s="19" t="s">
        <v>118</v>
      </c>
      <c r="C20" s="19" t="s">
        <v>103</v>
      </c>
      <c r="D20" s="20" t="n">
        <v>46361</v>
      </c>
      <c r="E20" s="20" t="n">
        <v>46364</v>
      </c>
      <c r="F20" s="21" t="n">
        <f aca="false">E20-D20</f>
        <v>3</v>
      </c>
      <c r="G20" s="22" t="n">
        <f aca="false">VLOOKUP(C20,Acuan!$A$2:$B$4,2,FALSE())</f>
        <v>650000</v>
      </c>
      <c r="H20" s="22" t="n">
        <f aca="false">F20*G20</f>
        <v>1950000</v>
      </c>
      <c r="I20" s="22" t="n">
        <f aca="false">IF(F20&gt;=$O$2,ROUND(H20*$O$3,0),0)</f>
        <v>195000</v>
      </c>
      <c r="J20" s="22" t="n">
        <f aca="false">ROUND((H20-I20)*$O$4,0)</f>
        <v>175500</v>
      </c>
      <c r="K20" s="22" t="n">
        <f aca="false">H20-I20+J20</f>
        <v>1930500</v>
      </c>
      <c r="L20" s="23" t="str">
        <f aca="false">CHOOSE(WEEKDAY(D20,2),"Senin","Selasa","Rabu","Kamis","Jumat","Sabtu","Minggu")</f>
        <v>Sabtu</v>
      </c>
    </row>
    <row r="21" customFormat="false" ht="15" hidden="false" customHeight="false" outlineLevel="0" collapsed="false">
      <c r="A21" s="18" t="n">
        <v>20</v>
      </c>
      <c r="B21" s="19" t="s">
        <v>119</v>
      </c>
      <c r="C21" s="19" t="s">
        <v>103</v>
      </c>
      <c r="D21" s="20" t="n">
        <v>46363</v>
      </c>
      <c r="E21" s="20" t="n">
        <v>46368</v>
      </c>
      <c r="F21" s="21" t="n">
        <f aca="false">E21-D21</f>
        <v>5</v>
      </c>
      <c r="G21" s="22" t="n">
        <f aca="false">VLOOKUP(C21,Acuan!$A$2:$B$4,2,FALSE())</f>
        <v>650000</v>
      </c>
      <c r="H21" s="22" t="n">
        <f aca="false">F21*G21</f>
        <v>3250000</v>
      </c>
      <c r="I21" s="22" t="n">
        <f aca="false">IF(F21&gt;=$O$2,ROUND(H21*$O$3,0),0)</f>
        <v>325000</v>
      </c>
      <c r="J21" s="22" t="n">
        <f aca="false">ROUND((H21-I21)*$O$4,0)</f>
        <v>292500</v>
      </c>
      <c r="K21" s="22" t="n">
        <f aca="false">H21-I21+J21</f>
        <v>3217500</v>
      </c>
      <c r="L21" s="23" t="str">
        <f aca="false">CHOOSE(WEEKDAY(D21,2),"Senin","Selasa","Rabu","Kamis","Jumat","Sabtu","Minggu")</f>
        <v>Senin</v>
      </c>
    </row>
    <row r="22" customFormat="false" ht="15" hidden="false" customHeight="false" outlineLevel="0" collapsed="false">
      <c r="A22" s="18" t="n">
        <v>21</v>
      </c>
      <c r="B22" s="19" t="s">
        <v>120</v>
      </c>
      <c r="C22" s="19" t="s">
        <v>94</v>
      </c>
      <c r="D22" s="20" t="n">
        <v>46363</v>
      </c>
      <c r="E22" s="20" t="n">
        <v>46369</v>
      </c>
      <c r="F22" s="21" t="n">
        <f aca="false">E22-D22</f>
        <v>6</v>
      </c>
      <c r="G22" s="22" t="n">
        <f aca="false">VLOOKUP(C22,Acuan!$A$2:$B$4,2,FALSE())</f>
        <v>400000</v>
      </c>
      <c r="H22" s="22" t="n">
        <f aca="false">F22*G22</f>
        <v>2400000</v>
      </c>
      <c r="I22" s="22" t="n">
        <f aca="false">IF(F22&gt;=$O$2,ROUND(H22*$O$3,0),0)</f>
        <v>240000</v>
      </c>
      <c r="J22" s="22" t="n">
        <f aca="false">ROUND((H22-I22)*$O$4,0)</f>
        <v>216000</v>
      </c>
      <c r="K22" s="22" t="n">
        <f aca="false">H22-I22+J22</f>
        <v>2376000</v>
      </c>
      <c r="L22" s="23" t="str">
        <f aca="false">CHOOSE(WEEKDAY(D22,2),"Senin","Selasa","Rabu","Kamis","Jumat","Sabtu","Minggu")</f>
        <v>Senin</v>
      </c>
    </row>
    <row r="23" customFormat="false" ht="15" hidden="false" customHeight="false" outlineLevel="0" collapsed="false">
      <c r="A23" s="18" t="n">
        <v>22</v>
      </c>
      <c r="B23" s="19" t="s">
        <v>121</v>
      </c>
      <c r="C23" s="19" t="s">
        <v>94</v>
      </c>
      <c r="D23" s="20" t="n">
        <v>46364</v>
      </c>
      <c r="E23" s="20" t="n">
        <v>46370</v>
      </c>
      <c r="F23" s="21" t="n">
        <f aca="false">E23-D23</f>
        <v>6</v>
      </c>
      <c r="G23" s="22" t="n">
        <f aca="false">VLOOKUP(C23,Acuan!$A$2:$B$4,2,FALSE())</f>
        <v>400000</v>
      </c>
      <c r="H23" s="22" t="n">
        <f aca="false">F23*G23</f>
        <v>2400000</v>
      </c>
      <c r="I23" s="22" t="n">
        <f aca="false">IF(F23&gt;=$O$2,ROUND(H23*$O$3,0),0)</f>
        <v>240000</v>
      </c>
      <c r="J23" s="22" t="n">
        <f aca="false">ROUND((H23-I23)*$O$4,0)</f>
        <v>216000</v>
      </c>
      <c r="K23" s="22" t="n">
        <f aca="false">H23-I23+J23</f>
        <v>2376000</v>
      </c>
      <c r="L23" s="23" t="str">
        <f aca="false">CHOOSE(WEEKDAY(D23,2),"Senin","Selasa","Rabu","Kamis","Jumat","Sabtu","Minggu")</f>
        <v>Selasa</v>
      </c>
    </row>
    <row r="24" customFormat="false" ht="15" hidden="false" customHeight="false" outlineLevel="0" collapsed="false">
      <c r="A24" s="18" t="n">
        <v>23</v>
      </c>
      <c r="B24" s="19" t="s">
        <v>122</v>
      </c>
      <c r="C24" s="19" t="s">
        <v>103</v>
      </c>
      <c r="D24" s="20" t="n">
        <v>46365</v>
      </c>
      <c r="E24" s="20" t="n">
        <v>46367</v>
      </c>
      <c r="F24" s="21" t="n">
        <f aca="false">E24-D24</f>
        <v>2</v>
      </c>
      <c r="G24" s="22" t="n">
        <f aca="false">VLOOKUP(C24,Acuan!$A$2:$B$4,2,FALSE())</f>
        <v>650000</v>
      </c>
      <c r="H24" s="22" t="n">
        <f aca="false">F24*G24</f>
        <v>1300000</v>
      </c>
      <c r="I24" s="22" t="n">
        <f aca="false">IF(F24&gt;=$O$2,ROUND(H24*$O$3,0),0)</f>
        <v>0</v>
      </c>
      <c r="J24" s="22" t="n">
        <f aca="false">ROUND((H24-I24)*$O$4,0)</f>
        <v>130000</v>
      </c>
      <c r="K24" s="22" t="n">
        <f aca="false">H24-I24+J24</f>
        <v>1430000</v>
      </c>
      <c r="L24" s="23" t="str">
        <f aca="false">CHOOSE(WEEKDAY(D24,2),"Senin","Selasa","Rabu","Kamis","Jumat","Sabtu","Minggu")</f>
        <v>Rabu</v>
      </c>
    </row>
    <row r="25" customFormat="false" ht="15" hidden="false" customHeight="false" outlineLevel="0" collapsed="false">
      <c r="A25" s="18" t="n">
        <v>24</v>
      </c>
      <c r="B25" s="19" t="s">
        <v>123</v>
      </c>
      <c r="C25" s="19" t="s">
        <v>94</v>
      </c>
      <c r="D25" s="20" t="n">
        <v>46366</v>
      </c>
      <c r="E25" s="20" t="n">
        <v>46368</v>
      </c>
      <c r="F25" s="21" t="n">
        <f aca="false">E25-D25</f>
        <v>2</v>
      </c>
      <c r="G25" s="22" t="n">
        <f aca="false">VLOOKUP(C25,Acuan!$A$2:$B$4,2,FALSE())</f>
        <v>400000</v>
      </c>
      <c r="H25" s="22" t="n">
        <f aca="false">F25*G25</f>
        <v>800000</v>
      </c>
      <c r="I25" s="22" t="n">
        <f aca="false">IF(F25&gt;=$O$2,ROUND(H25*$O$3,0),0)</f>
        <v>0</v>
      </c>
      <c r="J25" s="22" t="n">
        <f aca="false">ROUND((H25-I25)*$O$4,0)</f>
        <v>80000</v>
      </c>
      <c r="K25" s="22" t="n">
        <f aca="false">H25-I25+J25</f>
        <v>880000</v>
      </c>
      <c r="L25" s="23" t="str">
        <f aca="false">CHOOSE(WEEKDAY(D25,2),"Senin","Selasa","Rabu","Kamis","Jumat","Sabtu","Minggu")</f>
        <v>Kamis</v>
      </c>
    </row>
    <row r="26" customFormat="false" ht="15" hidden="false" customHeight="false" outlineLevel="0" collapsed="false">
      <c r="A26" s="18" t="n">
        <v>25</v>
      </c>
      <c r="B26" s="19" t="s">
        <v>124</v>
      </c>
      <c r="C26" s="19" t="s">
        <v>94</v>
      </c>
      <c r="D26" s="20" t="n">
        <v>46366</v>
      </c>
      <c r="E26" s="20" t="n">
        <v>46367</v>
      </c>
      <c r="F26" s="21" t="n">
        <f aca="false">E26-D26</f>
        <v>1</v>
      </c>
      <c r="G26" s="22" t="n">
        <f aca="false">VLOOKUP(C26,Acuan!$A$2:$B$4,2,FALSE())</f>
        <v>400000</v>
      </c>
      <c r="H26" s="22" t="n">
        <f aca="false">F26*G26</f>
        <v>400000</v>
      </c>
      <c r="I26" s="22" t="n">
        <f aca="false">IF(F26&gt;=$O$2,ROUND(H26*$O$3,0),0)</f>
        <v>0</v>
      </c>
      <c r="J26" s="22" t="n">
        <f aca="false">ROUND((H26-I26)*$O$4,0)</f>
        <v>40000</v>
      </c>
      <c r="K26" s="22" t="n">
        <f aca="false">H26-I26+J26</f>
        <v>440000</v>
      </c>
      <c r="L26" s="23" t="str">
        <f aca="false">CHOOSE(WEEKDAY(D26,2),"Senin","Selasa","Rabu","Kamis","Jumat","Sabtu","Minggu")</f>
        <v>Kamis</v>
      </c>
    </row>
    <row r="27" customFormat="false" ht="15" hidden="false" customHeight="false" outlineLevel="0" collapsed="false">
      <c r="A27" s="18" t="n">
        <v>26</v>
      </c>
      <c r="B27" s="19" t="s">
        <v>125</v>
      </c>
      <c r="C27" s="19" t="s">
        <v>98</v>
      </c>
      <c r="D27" s="20" t="n">
        <v>46368</v>
      </c>
      <c r="E27" s="20" t="n">
        <v>46372</v>
      </c>
      <c r="F27" s="21" t="n">
        <f aca="false">E27-D27</f>
        <v>4</v>
      </c>
      <c r="G27" s="22" t="n">
        <f aca="false">VLOOKUP(C27,Acuan!$A$2:$B$4,2,FALSE())</f>
        <v>1200000</v>
      </c>
      <c r="H27" s="22" t="n">
        <f aca="false">F27*G27</f>
        <v>4800000</v>
      </c>
      <c r="I27" s="22" t="n">
        <f aca="false">IF(F27&gt;=$O$2,ROUND(H27*$O$3,0),0)</f>
        <v>480000</v>
      </c>
      <c r="J27" s="22" t="n">
        <f aca="false">ROUND((H27-I27)*$O$4,0)</f>
        <v>432000</v>
      </c>
      <c r="K27" s="22" t="n">
        <f aca="false">H27-I27+J27</f>
        <v>4752000</v>
      </c>
      <c r="L27" s="23" t="str">
        <f aca="false">CHOOSE(WEEKDAY(D27,2),"Senin","Selasa","Rabu","Kamis","Jumat","Sabtu","Minggu")</f>
        <v>Sabtu</v>
      </c>
    </row>
    <row r="28" customFormat="false" ht="15" hidden="false" customHeight="false" outlineLevel="0" collapsed="false">
      <c r="A28" s="18" t="n">
        <v>27</v>
      </c>
      <c r="B28" s="19" t="s">
        <v>126</v>
      </c>
      <c r="C28" s="19" t="s">
        <v>103</v>
      </c>
      <c r="D28" s="20" t="n">
        <v>46369</v>
      </c>
      <c r="E28" s="20" t="n">
        <v>46371</v>
      </c>
      <c r="F28" s="21" t="n">
        <f aca="false">E28-D28</f>
        <v>2</v>
      </c>
      <c r="G28" s="22" t="n">
        <f aca="false">VLOOKUP(C28,Acuan!$A$2:$B$4,2,FALSE())</f>
        <v>650000</v>
      </c>
      <c r="H28" s="22" t="n">
        <f aca="false">F28*G28</f>
        <v>1300000</v>
      </c>
      <c r="I28" s="22" t="n">
        <f aca="false">IF(F28&gt;=$O$2,ROUND(H28*$O$3,0),0)</f>
        <v>0</v>
      </c>
      <c r="J28" s="22" t="n">
        <f aca="false">ROUND((H28-I28)*$O$4,0)</f>
        <v>130000</v>
      </c>
      <c r="K28" s="22" t="n">
        <f aca="false">H28-I28+J28</f>
        <v>1430000</v>
      </c>
      <c r="L28" s="23" t="str">
        <f aca="false">CHOOSE(WEEKDAY(D28,2),"Senin","Selasa","Rabu","Kamis","Jumat","Sabtu","Minggu")</f>
        <v>Minggu</v>
      </c>
    </row>
    <row r="29" customFormat="false" ht="15" hidden="false" customHeight="false" outlineLevel="0" collapsed="false">
      <c r="A29" s="18" t="n">
        <v>28</v>
      </c>
      <c r="B29" s="19" t="s">
        <v>127</v>
      </c>
      <c r="C29" s="19" t="s">
        <v>94</v>
      </c>
      <c r="D29" s="20" t="n">
        <v>46370</v>
      </c>
      <c r="E29" s="20" t="n">
        <v>46376</v>
      </c>
      <c r="F29" s="21" t="n">
        <f aca="false">E29-D29</f>
        <v>6</v>
      </c>
      <c r="G29" s="22" t="n">
        <f aca="false">VLOOKUP(C29,Acuan!$A$2:$B$4,2,FALSE())</f>
        <v>400000</v>
      </c>
      <c r="H29" s="22" t="n">
        <f aca="false">F29*G29</f>
        <v>2400000</v>
      </c>
      <c r="I29" s="22" t="n">
        <f aca="false">IF(F29&gt;=$O$2,ROUND(H29*$O$3,0),0)</f>
        <v>240000</v>
      </c>
      <c r="J29" s="22" t="n">
        <f aca="false">ROUND((H29-I29)*$O$4,0)</f>
        <v>216000</v>
      </c>
      <c r="K29" s="22" t="n">
        <f aca="false">H29-I29+J29</f>
        <v>2376000</v>
      </c>
      <c r="L29" s="23" t="str">
        <f aca="false">CHOOSE(WEEKDAY(D29,2),"Senin","Selasa","Rabu","Kamis","Jumat","Sabtu","Minggu")</f>
        <v>Senin</v>
      </c>
    </row>
    <row r="30" customFormat="false" ht="15" hidden="false" customHeight="false" outlineLevel="0" collapsed="false">
      <c r="A30" s="18" t="n">
        <v>29</v>
      </c>
      <c r="B30" s="19" t="s">
        <v>128</v>
      </c>
      <c r="C30" s="19" t="s">
        <v>103</v>
      </c>
      <c r="D30" s="20" t="n">
        <v>46374</v>
      </c>
      <c r="E30" s="20" t="n">
        <v>46377</v>
      </c>
      <c r="F30" s="21" t="n">
        <f aca="false">E30-D30</f>
        <v>3</v>
      </c>
      <c r="G30" s="22" t="n">
        <f aca="false">VLOOKUP(C30,Acuan!$A$2:$B$4,2,FALSE())</f>
        <v>650000</v>
      </c>
      <c r="H30" s="22" t="n">
        <f aca="false">F30*G30</f>
        <v>1950000</v>
      </c>
      <c r="I30" s="22" t="n">
        <f aca="false">IF(F30&gt;=$O$2,ROUND(H30*$O$3,0),0)</f>
        <v>195000</v>
      </c>
      <c r="J30" s="22" t="n">
        <f aca="false">ROUND((H30-I30)*$O$4,0)</f>
        <v>175500</v>
      </c>
      <c r="K30" s="22" t="n">
        <f aca="false">H30-I30+J30</f>
        <v>1930500</v>
      </c>
      <c r="L30" s="23" t="str">
        <f aca="false">CHOOSE(WEEKDAY(D30,2),"Senin","Selasa","Rabu","Kamis","Jumat","Sabtu","Minggu")</f>
        <v>Jumat</v>
      </c>
    </row>
    <row r="31" customFormat="false" ht="15" hidden="false" customHeight="false" outlineLevel="0" collapsed="false">
      <c r="A31" s="18" t="n">
        <v>30</v>
      </c>
      <c r="B31" s="19" t="s">
        <v>129</v>
      </c>
      <c r="C31" s="19" t="s">
        <v>98</v>
      </c>
      <c r="D31" s="20" t="n">
        <v>46375</v>
      </c>
      <c r="E31" s="20" t="n">
        <v>46377</v>
      </c>
      <c r="F31" s="21" t="n">
        <f aca="false">E31-D31</f>
        <v>2</v>
      </c>
      <c r="G31" s="22" t="n">
        <f aca="false">VLOOKUP(C31,Acuan!$A$2:$B$4,2,FALSE())</f>
        <v>1200000</v>
      </c>
      <c r="H31" s="22" t="n">
        <f aca="false">F31*G31</f>
        <v>2400000</v>
      </c>
      <c r="I31" s="22" t="n">
        <f aca="false">IF(F31&gt;=$O$2,ROUND(H31*$O$3,0),0)</f>
        <v>0</v>
      </c>
      <c r="J31" s="22" t="n">
        <f aca="false">ROUND((H31-I31)*$O$4,0)</f>
        <v>240000</v>
      </c>
      <c r="K31" s="22" t="n">
        <f aca="false">H31-I31+J31</f>
        <v>2640000</v>
      </c>
      <c r="L31" s="23" t="str">
        <f aca="false">CHOOSE(WEEKDAY(D31,2),"Senin","Selasa","Rabu","Kamis","Jumat","Sabtu","Minggu")</f>
        <v>Sabtu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80</v>
      </c>
      <c r="B1" s="12" t="s">
        <v>84</v>
      </c>
      <c r="C1" s="16" t="s">
        <v>130</v>
      </c>
      <c r="D1" s="16" t="s">
        <v>131</v>
      </c>
    </row>
    <row r="2" customFormat="false" ht="15" hidden="false" customHeight="false" outlineLevel="0" collapsed="false">
      <c r="A2" s="19" t="s">
        <v>94</v>
      </c>
      <c r="B2" s="28" t="n">
        <v>400000</v>
      </c>
      <c r="C2" s="21" t="n">
        <f aca="false">COUNTIF(Data!$C$2:$C$31,A2)</f>
        <v>14</v>
      </c>
      <c r="D2" s="22" t="n">
        <f aca="false">SUMIF(Data!$C$2:$C$31,A2,Data!$K$2:$K$31)</f>
        <v>19888000</v>
      </c>
    </row>
    <row r="3" customFormat="false" ht="15" hidden="false" customHeight="false" outlineLevel="0" collapsed="false">
      <c r="A3" s="19" t="s">
        <v>103</v>
      </c>
      <c r="B3" s="28" t="n">
        <v>650000</v>
      </c>
      <c r="C3" s="21" t="n">
        <f aca="false">COUNTIF(Data!$C$2:$C$31,A3)</f>
        <v>11</v>
      </c>
      <c r="D3" s="22" t="n">
        <f aca="false">SUMIF(Data!$C$2:$C$31,A3,Data!$K$2:$K$31)</f>
        <v>19376500</v>
      </c>
    </row>
    <row r="4" customFormat="false" ht="15" hidden="false" customHeight="false" outlineLevel="0" collapsed="false">
      <c r="A4" s="19" t="s">
        <v>98</v>
      </c>
      <c r="B4" s="28" t="n">
        <v>1200000</v>
      </c>
      <c r="C4" s="21" t="n">
        <f aca="false">COUNTIF(Data!$C$2:$C$31,A4)</f>
        <v>5</v>
      </c>
      <c r="D4" s="22" t="n">
        <f aca="false">SUMIF(Data!$C$2:$C$31,A4,Data!$K$2:$K$31)</f>
        <v>18348000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9" t="s">
        <v>132</v>
      </c>
      <c r="B1" s="29"/>
      <c r="C1" s="29"/>
      <c r="D1" s="29"/>
    </row>
    <row r="2" customFormat="false" ht="15" hidden="false" customHeight="false" outlineLevel="0" collapsed="false">
      <c r="A2" s="30" t="s">
        <v>133</v>
      </c>
      <c r="B2" s="30"/>
      <c r="C2" s="30"/>
      <c r="D2" s="30"/>
    </row>
    <row r="3" customFormat="false" ht="15" hidden="false" customHeight="false" outlineLevel="0" collapsed="false">
      <c r="A3" s="12" t="s">
        <v>19</v>
      </c>
      <c r="B3" s="12" t="s">
        <v>134</v>
      </c>
      <c r="C3" s="12" t="s">
        <v>135</v>
      </c>
      <c r="D3" s="12" t="s">
        <v>136</v>
      </c>
    </row>
    <row r="4" customFormat="false" ht="19.5" hidden="false" customHeight="true" outlineLevel="0" collapsed="false">
      <c r="A4" s="31" t="s">
        <v>137</v>
      </c>
      <c r="B4" s="32" t="s">
        <v>138</v>
      </c>
      <c r="C4" s="22" t="n">
        <f aca="false">SUM(Data!$K$2:$K$31)</f>
        <v>57612500</v>
      </c>
      <c r="D4" s="26" t="s">
        <v>139</v>
      </c>
    </row>
    <row r="5" customFormat="false" ht="19.5" hidden="false" customHeight="true" outlineLevel="0" collapsed="false">
      <c r="A5" s="31" t="s">
        <v>140</v>
      </c>
      <c r="B5" s="32" t="s">
        <v>141</v>
      </c>
      <c r="C5" s="22" t="n">
        <f aca="false">SUM(Data!$J$2:$J$31)</f>
        <v>5237500</v>
      </c>
      <c r="D5" s="26" t="s">
        <v>139</v>
      </c>
    </row>
    <row r="6" customFormat="false" ht="19.5" hidden="false" customHeight="true" outlineLevel="0" collapsed="false">
      <c r="A6" s="31" t="s">
        <v>55</v>
      </c>
      <c r="B6" s="32" t="s">
        <v>142</v>
      </c>
      <c r="C6" s="21" t="n">
        <f aca="false">COUNTIF(Data!$I$2:$I$31,"&gt;0")</f>
        <v>15</v>
      </c>
      <c r="D6" s="26" t="s">
        <v>143</v>
      </c>
    </row>
    <row r="7" customFormat="false" ht="19.5" hidden="false" customHeight="true" outlineLevel="0" collapsed="false">
      <c r="A7" s="31" t="s">
        <v>59</v>
      </c>
      <c r="B7" s="32" t="s">
        <v>144</v>
      </c>
      <c r="C7" s="33" t="n">
        <f aca="false">AVERAGE(Data!$F$2:$F$31)</f>
        <v>3.1</v>
      </c>
      <c r="D7" s="26" t="s">
        <v>145</v>
      </c>
    </row>
    <row r="8" customFormat="false" ht="19.5" hidden="false" customHeight="true" outlineLevel="0" collapsed="false">
      <c r="A8" s="31" t="s">
        <v>63</v>
      </c>
      <c r="B8" s="32" t="s">
        <v>146</v>
      </c>
      <c r="C8" s="21" t="n">
        <f aca="false">COUNTIF(Data!$L$2:$L$31,"Jumat")</f>
        <v>3</v>
      </c>
      <c r="D8" s="26" t="s">
        <v>147</v>
      </c>
    </row>
    <row r="9" customFormat="false" ht="19.5" hidden="false" customHeight="true" outlineLevel="0" collapsed="false">
      <c r="A9" s="31" t="s">
        <v>75</v>
      </c>
      <c r="B9" s="32" t="s">
        <v>148</v>
      </c>
      <c r="C9" s="23" t="str">
        <f aca="false">INDEX(Acuan!$A$2:$A$4,MATCH(MAX(Acuan!$D$2:$D$4),Acuan!$D$2:$D$4,0))</f>
        <v>Standard</v>
      </c>
      <c r="D9" s="26" t="s">
        <v>149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2026-10-10T06:49:19Z</dcterms:created>
  <dc:creator>PushExcel</dc:creator>
  <dc:description/>
  <dc:language>en-US</dc:language>
  <cp:lastModifiedBy/>
  <dcterms:modified xsi:type="dcterms:W3CDTF">2026-10-10T06:49:19Z</dcterms:modified>
  <cp:revision>0</cp:revision>
  <dc:subject/>
  <dc:title>Reservasi Penginapan dan Tagihan Tamu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