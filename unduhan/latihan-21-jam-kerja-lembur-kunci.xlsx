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<sst xmlns="http://schemas.openxmlformats.org/spreadsheetml/2006/main" count="162" uniqueCount="119">
  <si>
    <t xml:space="preserve">Kunci Jawaban: Jam Kerja, Keterlambatan, dan Lembur</t>
  </si>
  <si>
    <t xml:space="preserve">Latihan 21 dari 24  |  Tingkat: Lanjutan  |  Perkiraan waktu: 65 menit  |  pushexcel.github.io/Pushexcel</t>
  </si>
  <si>
    <t xml:space="preserve">Skenario</t>
  </si>
  <si>
    <t xml:space="preserve">Kamu admin HRD di CV Sinar Teknik. Dari mesin absensi bulan Oktober 2026 kamu punya jam masuk dan jam pulang 6 karyawan. Jam masuk resmi 08.00, jam kerja normal 8 jam (480 menit) dan istirahat 60 menit tidak dihitung. Waktu di luar jam normal dihitung lembur dan dibayar per jam. Semua perhitungan dalam menit agar akurat.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</si>
  <si>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</si>
  <si>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</si>
  <si>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</si>
  <si>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</si>
  <si>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</si>
  <si>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</si>
  <si>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</si>
  <si>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</si>
  <si>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</si>
  <si>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</si>
  <si>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</si>
  <si>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</si>
  <si>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</si>
  <si>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</si>
  <si>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</si>
  <si>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</si>
  <si>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</si>
  <si>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</si>
  <si>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</si>
  <si>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</si>
  <si>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durasi kerja dalam menit: (jam pulang dikurangi jam masuk) dikali 1440, dibulatkan ke bilangan bulat.</t>
  </si>
  <si>
    <t xml:space="preserve">Sheet Data, kolom F (Durasi (menit)), baris 2 sampai 37</t>
  </si>
  <si>
    <t xml:space="preserve">=ROUND((E2-D2)*1440;0)</t>
  </si>
  <si>
    <t xml:space="preserve">2</t>
  </si>
  <si>
    <t xml:space="preserve">Ubah durasi menit menjadi jam desimal.</t>
  </si>
  <si>
    <t xml:space="preserve">Sheet Data, kolom G (Durasi (jam)), baris 2 sampai 37</t>
  </si>
  <si>
    <t xml:space="preserve">=F2/60</t>
  </si>
  <si>
    <t xml:space="preserve">3</t>
  </si>
  <si>
    <t xml:space="preserve">Hitung menit terlambat: jam masuk dikurangi jam masuk resmi, dikali 1440. Datang lebih awal dihitung 0.</t>
  </si>
  <si>
    <t xml:space="preserve">Sheet Data, kolom H (Terlambat (menit)), baris 2 sampai 37</t>
  </si>
  <si>
    <t xml:space="preserve">=ROUND(MAX(0;D2-$N$2)*1440;0)</t>
  </si>
  <si>
    <t xml:space="preserve">4</t>
  </si>
  <si>
    <t xml:space="preserve">Beri status Terlambat bila menit terlambat lebih dari 0, selain itu Tepat Waktu.</t>
  </si>
  <si>
    <t xml:space="preserve">Sheet Data, kolom I (Status), baris 2 sampai 37</t>
  </si>
  <si>
    <t xml:space="preserve">=IF(H2&gt;0;"Terlambat";"Tepat Waktu")</t>
  </si>
  <si>
    <t xml:space="preserve">5</t>
  </si>
  <si>
    <t xml:space="preserve">Hitung lembur dalam menit: durasi dikurangi istirahat dan jam kerja normal. Bila hasilnya negatif tulis 0.</t>
  </si>
  <si>
    <t xml:space="preserve">Sheet Data, kolom J (Lembur (menit)), baris 2 sampai 37</t>
  </si>
  <si>
    <t xml:space="preserve">=MAX(0;F2-$N$3-$N$4)</t>
  </si>
  <si>
    <t xml:space="preserve">6</t>
  </si>
  <si>
    <t xml:space="preserve">Hitung upah lembur: lembur (menit) dibagi 60, dikali tarif lembur per jam.</t>
  </si>
  <si>
    <t xml:space="preserve">Sheet Data, kolom K (Upah Lembur), baris 2 sampai 37</t>
  </si>
  <si>
    <t xml:space="preserve">=ROUND(J2/60*$N$5;0)</t>
  </si>
  <si>
    <t xml:space="preserve">7</t>
  </si>
  <si>
    <t xml:space="preserve">Berapa catatan absensi yang berstatus Terlambat?</t>
  </si>
  <si>
    <t xml:space="preserve">Sheet Ringkasan, sel C4</t>
  </si>
  <si>
    <t xml:space="preserve">=COUNTIF(Data!$I$2:$I$37;"Terlambat")</t>
  </si>
  <si>
    <t xml:space="preserve">8</t>
  </si>
  <si>
    <t xml:space="preserve">Berapa total jam lembur seluruh karyawan, dan berapa total upah lembur?</t>
  </si>
  <si>
    <t xml:space="preserve">Sheet Ringkasan, sel C5 sampai C6</t>
  </si>
  <si>
    <t xml:space="preserve">=SUM(Data!$J$2:$J$37)/60
=SUM(Data!$K$2:$K$37)</t>
  </si>
  <si>
    <t xml:space="preserve">9</t>
  </si>
  <si>
    <t xml:space="preserve">Berapa rata-rata durasi kerja per hari (dalam jam)?</t>
  </si>
  <si>
    <t xml:space="preserve">Sheet Ringkasan, sel C7</t>
  </si>
  <si>
    <t xml:space="preserve">=AVERAGE(Data!$G$2:$G$37)</t>
  </si>
  <si>
    <t xml:space="preserve">10</t>
  </si>
  <si>
    <t xml:space="preserve">Pada sheet Acuan, hitung jumlah hari hadir tiap karyawan.</t>
  </si>
  <si>
    <t xml:space="preserve">Sheet Acuan, kolom B (Jumlah Hari Hadir), baris 2 sampai 7</t>
  </si>
  <si>
    <t xml:space="preserve">=COUNTIF(Data!$C$2:$C$37;A2)</t>
  </si>
  <si>
    <t xml:space="preserve">11</t>
  </si>
  <si>
    <t xml:space="preserve">Pada sheet Acuan, hitung total lembur (menit) tiap karyawan.</t>
  </si>
  <si>
    <t xml:space="preserve">Sheet Acuan, kolom C (Total Lembur (menit)), baris 2 sampai 7</t>
  </si>
  <si>
    <t xml:space="preserve">=SUMIF(Data!$C$2:$C$37;A2;Data!$J$2:$J$37)</t>
  </si>
  <si>
    <t xml:space="preserve">12</t>
  </si>
  <si>
    <t xml:space="preserve">Pada sheet Acuan, hitung total upah lembur tiap karyawan.</t>
  </si>
  <si>
    <t xml:space="preserve">Sheet Acuan, kolom D (Total Upah Lembur), baris 2 sampai 7</t>
  </si>
  <si>
    <t xml:space="preserve">=SUMIF(Data!$C$2:$C$37;A2;Data!$K$2:$K$37)</t>
  </si>
  <si>
    <t xml:space="preserve">13</t>
  </si>
  <si>
    <t xml:space="preserve">Siapa karyawan dengan total lembur terbanyak?</t>
  </si>
  <si>
    <t xml:space="preserve">Sheet Ringkasan, sel C8</t>
  </si>
  <si>
    <t xml:space="preserve">=INDEX(Acuan!$A$2:$A$7;MATCH(MAX(Acuan!$C$2:$C$7);Acuan!$C$2:$C$7;0))</t>
  </si>
  <si>
    <t xml:space="preserve">Tanggal</t>
  </si>
  <si>
    <t xml:space="preserve">Karyawan</t>
  </si>
  <si>
    <t xml:space="preserve">Jam Masuk</t>
  </si>
  <si>
    <t xml:space="preserve">Jam Pulang</t>
  </si>
  <si>
    <t xml:space="preserve">Durasi (menit)</t>
  </si>
  <si>
    <t xml:space="preserve">Durasi (jam)</t>
  </si>
  <si>
    <t xml:space="preserve">Terlambat (menit)</t>
  </si>
  <si>
    <t xml:space="preserve">Status</t>
  </si>
  <si>
    <t xml:space="preserve">Lembur (menit)</t>
  </si>
  <si>
    <t xml:space="preserve">Upah Lembur</t>
  </si>
  <si>
    <t xml:space="preserve">Parameter</t>
  </si>
  <si>
    <t xml:space="preserve">Nilai</t>
  </si>
  <si>
    <t xml:space="preserve">Keterangan</t>
  </si>
  <si>
    <t xml:space="preserve">Arif Ramadhan</t>
  </si>
  <si>
    <t xml:space="preserve">Jam masuk resmi</t>
  </si>
  <si>
    <t xml:space="preserve">Wawan Syahputra</t>
  </si>
  <si>
    <t xml:space="preserve">Istirahat (menit)</t>
  </si>
  <si>
    <t xml:space="preserve">Tidak dihitung sebagai jam kerja</t>
  </si>
  <si>
    <t xml:space="preserve">Putri Nugroho</t>
  </si>
  <si>
    <t xml:space="preserve">Jam kerja normal (menit)</t>
  </si>
  <si>
    <t xml:space="preserve">8 jam x 60 menit</t>
  </si>
  <si>
    <t xml:space="preserve">Prasetyo Nugroho</t>
  </si>
  <si>
    <t xml:space="preserve">Tarif lembur per jam</t>
  </si>
  <si>
    <t xml:space="preserve">Utami Setiawan</t>
  </si>
  <si>
    <t xml:space="preserve">Lukman Nugroho</t>
  </si>
  <si>
    <t xml:space="preserve">Jumlah Hari Hadir</t>
  </si>
  <si>
    <t xml:space="preserve">Total Lembur (menit)</t>
  </si>
  <si>
    <t xml:space="preserve">Total Upah Lembur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</si>
  <si>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</si>
  <si>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</si>
  <si>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</si>
  <si>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</si>
  <si>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</si>
  <si>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Jumlah catatan terlambat</t>
  </si>
  <si>
    <t xml:space="preserve">Angka bulat, mis. 15</t>
  </si>
  <si>
    <t xml:space="preserve">8a</t>
  </si>
  <si>
    <t xml:space="preserve">Total jam lembur</t>
  </si>
  <si>
    <t xml:space="preserve">Desimal 2 angka, mis. 14,25</t>
  </si>
  <si>
    <t xml:space="preserve">8b</t>
  </si>
  <si>
    <t xml:space="preserve">Total upah lembur</t>
  </si>
  <si>
    <t xml:space="preserve">Rata-rata durasi kerja (jam)</t>
  </si>
  <si>
    <t xml:space="preserve">Desimal 2 angka, mis. 9,40</t>
  </si>
  <si>
    <t xml:space="preserve">Karyawan dengan total lembur terbanyak</t>
  </si>
  <si>
    <t xml:space="preserve">Teks: nama karyawan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</si>
</sst>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hh:mm"/>
    <numFmt numFmtId="168" formatCode="0.00"/>
    <numFmt numFmtId="169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2" t="s">
        <v>19</v>
      </c>
      <c r="B1" s="12" t="s">
        <v>75</v>
      </c>
      <c r="C1" s="12" t="s">
        <v>76</v>
      </c>
      <c r="D1" s="12" t="s">
        <v>77</v>
      </c>
      <c r="E1" s="12" t="s">
        <v>78</v>
      </c>
      <c r="F1" s="16" t="s">
        <v>79</v>
      </c>
      <c r="G1" s="16" t="s">
        <v>80</v>
      </c>
      <c r="H1" s="16" t="s">
        <v>81</v>
      </c>
      <c r="I1" s="16" t="s">
        <v>82</v>
      </c>
      <c r="J1" s="16" t="s">
        <v>83</v>
      </c>
      <c r="K1" s="16" t="s">
        <v>84</v>
      </c>
      <c r="M1" s="17" t="s">
        <v>85</v>
      </c>
      <c r="N1" s="17" t="s">
        <v>86</v>
      </c>
      <c r="O1" s="17" t="s">
        <v>87</v>
      </c>
    </row>
    <row r="2" customFormat="false" ht="15" hidden="false" customHeight="false" outlineLevel="0" collapsed="false">
      <c r="A2" s="18" t="n">
        <v>1</v>
      </c>
      <c r="B2" s="19" t="n">
        <v>46297</v>
      </c>
      <c r="C2" s="20" t="s">
        <v>88</v>
      </c>
      <c r="D2" s="21" t="n">
        <v>0.350694444444444</v>
      </c>
      <c r="E2" s="21" t="n">
        <v>0.770833333333333</v>
      </c>
      <c r="F2" s="22" t="n">
        <f aca="false">ROUND((E2-D2)*1440,0)</f>
        <v>605</v>
      </c>
      <c r="G2" s="23" t="n">
        <f aca="false">F2/60</f>
        <v>10.0833333333333</v>
      </c>
      <c r="H2" s="22" t="n">
        <f aca="false">ROUND(MAX(0,D2-$N$2)*1440,0)</f>
        <v>25</v>
      </c>
      <c r="I2" s="24" t="str">
        <f aca="false">IF(H2&gt;0,"Terlambat","Tepat Waktu")</f>
        <v>Terlambat</v>
      </c>
      <c r="J2" s="22" t="n">
        <f aca="false">MAX(0,F2-$N$3-$N$4)</f>
        <v>65</v>
      </c>
      <c r="K2" s="25" t="n">
        <f aca="false">ROUND(J2/60*$N$5,0)</f>
        <v>27083</v>
      </c>
      <c r="M2" s="26" t="s">
        <v>89</v>
      </c>
      <c r="N2" s="27" t="n">
        <v>0.333333333333333</v>
      </c>
      <c r="O2" s="28"/>
    </row>
    <row r="3" customFormat="false" ht="15" hidden="false" customHeight="false" outlineLevel="0" collapsed="false">
      <c r="A3" s="18" t="n">
        <v>2</v>
      </c>
      <c r="B3" s="19" t="n">
        <v>46297</v>
      </c>
      <c r="C3" s="20" t="s">
        <v>90</v>
      </c>
      <c r="D3" s="21" t="n">
        <v>0.315972222222222</v>
      </c>
      <c r="E3" s="21" t="n">
        <v>0.736111111111111</v>
      </c>
      <c r="F3" s="22" t="n">
        <f aca="false">ROUND((E3-D3)*1440,0)</f>
        <v>605</v>
      </c>
      <c r="G3" s="23" t="n">
        <f aca="false">F3/60</f>
        <v>10.0833333333333</v>
      </c>
      <c r="H3" s="22" t="n">
        <f aca="false">ROUND(MAX(0,D3-$N$2)*1440,0)</f>
        <v>0</v>
      </c>
      <c r="I3" s="24" t="str">
        <f aca="false">IF(H3&gt;0,"Terlambat","Tepat Waktu")</f>
        <v>Tepat Waktu</v>
      </c>
      <c r="J3" s="22" t="n">
        <f aca="false">MAX(0,F3-$N$3-$N$4)</f>
        <v>65</v>
      </c>
      <c r="K3" s="25" t="n">
        <f aca="false">ROUND(J3/60*$N$5,0)</f>
        <v>27083</v>
      </c>
      <c r="M3" s="26" t="s">
        <v>91</v>
      </c>
      <c r="N3" s="29" t="n">
        <v>60</v>
      </c>
      <c r="O3" s="28" t="s">
        <v>92</v>
      </c>
    </row>
    <row r="4" customFormat="false" ht="15" hidden="false" customHeight="false" outlineLevel="0" collapsed="false">
      <c r="A4" s="18" t="n">
        <v>3</v>
      </c>
      <c r="B4" s="19" t="n">
        <v>46300</v>
      </c>
      <c r="C4" s="20" t="s">
        <v>93</v>
      </c>
      <c r="D4" s="21" t="n">
        <v>0.354166666666667</v>
      </c>
      <c r="E4" s="21" t="n">
        <v>0.763888888888889</v>
      </c>
      <c r="F4" s="22" t="n">
        <f aca="false">ROUND((E4-D4)*1440,0)</f>
        <v>590</v>
      </c>
      <c r="G4" s="23" t="n">
        <f aca="false">F4/60</f>
        <v>9.83333333333333</v>
      </c>
      <c r="H4" s="22" t="n">
        <f aca="false">ROUND(MAX(0,D4-$N$2)*1440,0)</f>
        <v>30</v>
      </c>
      <c r="I4" s="24" t="str">
        <f aca="false">IF(H4&gt;0,"Terlambat","Tepat Waktu")</f>
        <v>Terlambat</v>
      </c>
      <c r="J4" s="22" t="n">
        <f aca="false">MAX(0,F4-$N$3-$N$4)</f>
        <v>50</v>
      </c>
      <c r="K4" s="25" t="n">
        <f aca="false">ROUND(J4/60*$N$5,0)</f>
        <v>20833</v>
      </c>
      <c r="M4" s="26" t="s">
        <v>94</v>
      </c>
      <c r="N4" s="29" t="n">
        <v>480</v>
      </c>
      <c r="O4" s="28" t="s">
        <v>95</v>
      </c>
    </row>
    <row r="5" customFormat="false" ht="15" hidden="false" customHeight="false" outlineLevel="0" collapsed="false">
      <c r="A5" s="18" t="n">
        <v>4</v>
      </c>
      <c r="B5" s="19" t="n">
        <v>46301</v>
      </c>
      <c r="C5" s="20" t="s">
        <v>96</v>
      </c>
      <c r="D5" s="21" t="n">
        <v>0.361111111111111</v>
      </c>
      <c r="E5" s="21" t="n">
        <v>0.784722222222222</v>
      </c>
      <c r="F5" s="22" t="n">
        <f aca="false">ROUND((E5-D5)*1440,0)</f>
        <v>610</v>
      </c>
      <c r="G5" s="23" t="n">
        <f aca="false">F5/60</f>
        <v>10.1666666666667</v>
      </c>
      <c r="H5" s="22" t="n">
        <f aca="false">ROUND(MAX(0,D5-$N$2)*1440,0)</f>
        <v>40</v>
      </c>
      <c r="I5" s="24" t="str">
        <f aca="false">IF(H5&gt;0,"Terlambat","Tepat Waktu")</f>
        <v>Terlambat</v>
      </c>
      <c r="J5" s="22" t="n">
        <f aca="false">MAX(0,F5-$N$3-$N$4)</f>
        <v>70</v>
      </c>
      <c r="K5" s="25" t="n">
        <f aca="false">ROUND(J5/60*$N$5,0)</f>
        <v>29167</v>
      </c>
      <c r="M5" s="26" t="s">
        <v>97</v>
      </c>
      <c r="N5" s="30" t="n">
        <v>25000</v>
      </c>
      <c r="O5" s="28"/>
    </row>
    <row r="6" customFormat="false" ht="15" hidden="false" customHeight="false" outlineLevel="0" collapsed="false">
      <c r="A6" s="18" t="n">
        <v>5</v>
      </c>
      <c r="B6" s="19" t="n">
        <v>46301</v>
      </c>
      <c r="C6" s="20" t="s">
        <v>98</v>
      </c>
      <c r="D6" s="21" t="n">
        <v>0.329861111111111</v>
      </c>
      <c r="E6" s="21" t="n">
        <v>0.743055555555556</v>
      </c>
      <c r="F6" s="22" t="n">
        <f aca="false">ROUND((E6-D6)*1440,0)</f>
        <v>595</v>
      </c>
      <c r="G6" s="23" t="n">
        <f aca="false">F6/60</f>
        <v>9.91666666666667</v>
      </c>
      <c r="H6" s="22" t="n">
        <f aca="false">ROUND(MAX(0,D6-$N$2)*1440,0)</f>
        <v>0</v>
      </c>
      <c r="I6" s="24" t="str">
        <f aca="false">IF(H6&gt;0,"Terlambat","Tepat Waktu")</f>
        <v>Tepat Waktu</v>
      </c>
      <c r="J6" s="22" t="n">
        <f aca="false">MAX(0,F6-$N$3-$N$4)</f>
        <v>55</v>
      </c>
      <c r="K6" s="25" t="n">
        <f aca="false">ROUND(J6/60*$N$5,0)</f>
        <v>22917</v>
      </c>
    </row>
    <row r="7" customFormat="false" ht="15" hidden="false" customHeight="false" outlineLevel="0" collapsed="false">
      <c r="A7" s="18" t="n">
        <v>6</v>
      </c>
      <c r="B7" s="19" t="n">
        <v>46301</v>
      </c>
      <c r="C7" s="20" t="s">
        <v>90</v>
      </c>
      <c r="D7" s="21" t="n">
        <v>0.357638888888889</v>
      </c>
      <c r="E7" s="21" t="n">
        <v>0.809027777777778</v>
      </c>
      <c r="F7" s="22" t="n">
        <f aca="false">ROUND((E7-D7)*1440,0)</f>
        <v>650</v>
      </c>
      <c r="G7" s="23" t="n">
        <f aca="false">F7/60</f>
        <v>10.8333333333333</v>
      </c>
      <c r="H7" s="22" t="n">
        <f aca="false">ROUND(MAX(0,D7-$N$2)*1440,0)</f>
        <v>35</v>
      </c>
      <c r="I7" s="24" t="str">
        <f aca="false">IF(H7&gt;0,"Terlambat","Tepat Waktu")</f>
        <v>Terlambat</v>
      </c>
      <c r="J7" s="22" t="n">
        <f aca="false">MAX(0,F7-$N$3-$N$4)</f>
        <v>110</v>
      </c>
      <c r="K7" s="25" t="n">
        <f aca="false">ROUND(J7/60*$N$5,0)</f>
        <v>45833</v>
      </c>
    </row>
    <row r="8" customFormat="false" ht="15" hidden="false" customHeight="false" outlineLevel="0" collapsed="false">
      <c r="A8" s="18" t="n">
        <v>7</v>
      </c>
      <c r="B8" s="19" t="n">
        <v>46302</v>
      </c>
      <c r="C8" s="20" t="s">
        <v>96</v>
      </c>
      <c r="D8" s="21" t="n">
        <v>0.34375</v>
      </c>
      <c r="E8" s="21" t="n">
        <v>0.708333333333333</v>
      </c>
      <c r="F8" s="22" t="n">
        <f aca="false">ROUND((E8-D8)*1440,0)</f>
        <v>525</v>
      </c>
      <c r="G8" s="23" t="n">
        <f aca="false">F8/60</f>
        <v>8.75</v>
      </c>
      <c r="H8" s="22" t="n">
        <f aca="false">ROUND(MAX(0,D8-$N$2)*1440,0)</f>
        <v>15</v>
      </c>
      <c r="I8" s="24" t="str">
        <f aca="false">IF(H8&gt;0,"Terlambat","Tepat Waktu")</f>
        <v>Terlambat</v>
      </c>
      <c r="J8" s="22" t="n">
        <f aca="false">MAX(0,F8-$N$3-$N$4)</f>
        <v>0</v>
      </c>
      <c r="K8" s="25" t="n">
        <f aca="false">ROUND(J8/60*$N$5,0)</f>
        <v>0</v>
      </c>
    </row>
    <row r="9" customFormat="false" ht="15" hidden="false" customHeight="false" outlineLevel="0" collapsed="false">
      <c r="A9" s="18" t="n">
        <v>8</v>
      </c>
      <c r="B9" s="19" t="n">
        <v>46302</v>
      </c>
      <c r="C9" s="20" t="s">
        <v>98</v>
      </c>
      <c r="D9" s="21" t="n">
        <v>0.3125</v>
      </c>
      <c r="E9" s="21" t="n">
        <v>0.701388888888889</v>
      </c>
      <c r="F9" s="22" t="n">
        <f aca="false">ROUND((E9-D9)*1440,0)</f>
        <v>560</v>
      </c>
      <c r="G9" s="23" t="n">
        <f aca="false">F9/60</f>
        <v>9.33333333333333</v>
      </c>
      <c r="H9" s="22" t="n">
        <f aca="false">ROUND(MAX(0,D9-$N$2)*1440,0)</f>
        <v>0</v>
      </c>
      <c r="I9" s="24" t="str">
        <f aca="false">IF(H9&gt;0,"Terlambat","Tepat Waktu")</f>
        <v>Tepat Waktu</v>
      </c>
      <c r="J9" s="22" t="n">
        <f aca="false">MAX(0,F9-$N$3-$N$4)</f>
        <v>20</v>
      </c>
      <c r="K9" s="25" t="n">
        <f aca="false">ROUND(J9/60*$N$5,0)</f>
        <v>8333</v>
      </c>
    </row>
    <row r="10" customFormat="false" ht="15" hidden="false" customHeight="false" outlineLevel="0" collapsed="false">
      <c r="A10" s="18" t="n">
        <v>9</v>
      </c>
      <c r="B10" s="19" t="n">
        <v>46303</v>
      </c>
      <c r="C10" s="20" t="s">
        <v>99</v>
      </c>
      <c r="D10" s="21" t="n">
        <v>0.326388888888889</v>
      </c>
      <c r="E10" s="21" t="n">
        <v>0.6875</v>
      </c>
      <c r="F10" s="22" t="n">
        <f aca="false">ROUND((E10-D10)*1440,0)</f>
        <v>520</v>
      </c>
      <c r="G10" s="23" t="n">
        <f aca="false">F10/60</f>
        <v>8.66666666666667</v>
      </c>
      <c r="H10" s="22" t="n">
        <f aca="false">ROUND(MAX(0,D10-$N$2)*1440,0)</f>
        <v>0</v>
      </c>
      <c r="I10" s="24" t="str">
        <f aca="false">IF(H10&gt;0,"Terlambat","Tepat Waktu")</f>
        <v>Tepat Waktu</v>
      </c>
      <c r="J10" s="22" t="n">
        <f aca="false">MAX(0,F10-$N$3-$N$4)</f>
        <v>0</v>
      </c>
      <c r="K10" s="25" t="n">
        <f aca="false">ROUND(J10/60*$N$5,0)</f>
        <v>0</v>
      </c>
    </row>
    <row r="11" customFormat="false" ht="15" hidden="false" customHeight="false" outlineLevel="0" collapsed="false">
      <c r="A11" s="18" t="n">
        <v>10</v>
      </c>
      <c r="B11" s="19" t="n">
        <v>46304</v>
      </c>
      <c r="C11" s="20" t="s">
        <v>88</v>
      </c>
      <c r="D11" s="21" t="n">
        <v>0.361111111111111</v>
      </c>
      <c r="E11" s="21" t="n">
        <v>0.722222222222222</v>
      </c>
      <c r="F11" s="22" t="n">
        <f aca="false">ROUND((E11-D11)*1440,0)</f>
        <v>520</v>
      </c>
      <c r="G11" s="23" t="n">
        <f aca="false">F11/60</f>
        <v>8.66666666666667</v>
      </c>
      <c r="H11" s="22" t="n">
        <f aca="false">ROUND(MAX(0,D11-$N$2)*1440,0)</f>
        <v>40</v>
      </c>
      <c r="I11" s="24" t="str">
        <f aca="false">IF(H11&gt;0,"Terlambat","Tepat Waktu")</f>
        <v>Terlambat</v>
      </c>
      <c r="J11" s="22" t="n">
        <f aca="false">MAX(0,F11-$N$3-$N$4)</f>
        <v>0</v>
      </c>
      <c r="K11" s="25" t="n">
        <f aca="false">ROUND(J11/60*$N$5,0)</f>
        <v>0</v>
      </c>
    </row>
    <row r="12" customFormat="false" ht="15" hidden="false" customHeight="false" outlineLevel="0" collapsed="false">
      <c r="A12" s="18" t="n">
        <v>11</v>
      </c>
      <c r="B12" s="19" t="n">
        <v>46304</v>
      </c>
      <c r="C12" s="20" t="s">
        <v>99</v>
      </c>
      <c r="D12" s="21" t="n">
        <v>0.350694444444444</v>
      </c>
      <c r="E12" s="21" t="n">
        <v>0.729166666666667</v>
      </c>
      <c r="F12" s="22" t="n">
        <f aca="false">ROUND((E12-D12)*1440,0)</f>
        <v>545</v>
      </c>
      <c r="G12" s="23" t="n">
        <f aca="false">F12/60</f>
        <v>9.08333333333333</v>
      </c>
      <c r="H12" s="22" t="n">
        <f aca="false">ROUND(MAX(0,D12-$N$2)*1440,0)</f>
        <v>25</v>
      </c>
      <c r="I12" s="24" t="str">
        <f aca="false">IF(H12&gt;0,"Terlambat","Tepat Waktu")</f>
        <v>Terlambat</v>
      </c>
      <c r="J12" s="22" t="n">
        <f aca="false">MAX(0,F12-$N$3-$N$4)</f>
        <v>5</v>
      </c>
      <c r="K12" s="25" t="n">
        <f aca="false">ROUND(J12/60*$N$5,0)</f>
        <v>2083</v>
      </c>
    </row>
    <row r="13" customFormat="false" ht="15" hidden="false" customHeight="false" outlineLevel="0" collapsed="false">
      <c r="A13" s="18" t="n">
        <v>12</v>
      </c>
      <c r="B13" s="19" t="n">
        <v>46304</v>
      </c>
      <c r="C13" s="20" t="s">
        <v>93</v>
      </c>
      <c r="D13" s="21" t="n">
        <v>0.347222222222222</v>
      </c>
      <c r="E13" s="21" t="n">
        <v>0.777777777777778</v>
      </c>
      <c r="F13" s="22" t="n">
        <f aca="false">ROUND((E13-D13)*1440,0)</f>
        <v>620</v>
      </c>
      <c r="G13" s="23" t="n">
        <f aca="false">F13/60</f>
        <v>10.3333333333333</v>
      </c>
      <c r="H13" s="22" t="n">
        <f aca="false">ROUND(MAX(0,D13-$N$2)*1440,0)</f>
        <v>20</v>
      </c>
      <c r="I13" s="24" t="str">
        <f aca="false">IF(H13&gt;0,"Terlambat","Tepat Waktu")</f>
        <v>Terlambat</v>
      </c>
      <c r="J13" s="22" t="n">
        <f aca="false">MAX(0,F13-$N$3-$N$4)</f>
        <v>80</v>
      </c>
      <c r="K13" s="25" t="n">
        <f aca="false">ROUND(J13/60*$N$5,0)</f>
        <v>33333</v>
      </c>
    </row>
    <row r="14" customFormat="false" ht="15" hidden="false" customHeight="false" outlineLevel="0" collapsed="false">
      <c r="A14" s="18" t="n">
        <v>13</v>
      </c>
      <c r="B14" s="19" t="n">
        <v>46304</v>
      </c>
      <c r="C14" s="20" t="s">
        <v>98</v>
      </c>
      <c r="D14" s="21" t="n">
        <v>0.336805555555556</v>
      </c>
      <c r="E14" s="21" t="n">
        <v>0.760416666666667</v>
      </c>
      <c r="F14" s="22" t="n">
        <f aca="false">ROUND((E14-D14)*1440,0)</f>
        <v>610</v>
      </c>
      <c r="G14" s="23" t="n">
        <f aca="false">F14/60</f>
        <v>10.1666666666667</v>
      </c>
      <c r="H14" s="22" t="n">
        <f aca="false">ROUND(MAX(0,D14-$N$2)*1440,0)</f>
        <v>5</v>
      </c>
      <c r="I14" s="24" t="str">
        <f aca="false">IF(H14&gt;0,"Terlambat","Tepat Waktu")</f>
        <v>Terlambat</v>
      </c>
      <c r="J14" s="22" t="n">
        <f aca="false">MAX(0,F14-$N$3-$N$4)</f>
        <v>70</v>
      </c>
      <c r="K14" s="25" t="n">
        <f aca="false">ROUND(J14/60*$N$5,0)</f>
        <v>29167</v>
      </c>
    </row>
    <row r="15" customFormat="false" ht="15" hidden="false" customHeight="false" outlineLevel="0" collapsed="false">
      <c r="A15" s="18" t="n">
        <v>14</v>
      </c>
      <c r="B15" s="19" t="n">
        <v>46307</v>
      </c>
      <c r="C15" s="20" t="s">
        <v>88</v>
      </c>
      <c r="D15" s="21" t="n">
        <v>0.322916666666667</v>
      </c>
      <c r="E15" s="21" t="n">
        <v>0.753472222222222</v>
      </c>
      <c r="F15" s="22" t="n">
        <f aca="false">ROUND((E15-D15)*1440,0)</f>
        <v>620</v>
      </c>
      <c r="G15" s="23" t="n">
        <f aca="false">F15/60</f>
        <v>10.3333333333333</v>
      </c>
      <c r="H15" s="22" t="n">
        <f aca="false">ROUND(MAX(0,D15-$N$2)*1440,0)</f>
        <v>0</v>
      </c>
      <c r="I15" s="24" t="str">
        <f aca="false">IF(H15&gt;0,"Terlambat","Tepat Waktu")</f>
        <v>Tepat Waktu</v>
      </c>
      <c r="J15" s="22" t="n">
        <f aca="false">MAX(0,F15-$N$3-$N$4)</f>
        <v>80</v>
      </c>
      <c r="K15" s="25" t="n">
        <f aca="false">ROUND(J15/60*$N$5,0)</f>
        <v>33333</v>
      </c>
    </row>
    <row r="16" customFormat="false" ht="15" hidden="false" customHeight="false" outlineLevel="0" collapsed="false">
      <c r="A16" s="18" t="n">
        <v>15</v>
      </c>
      <c r="B16" s="19" t="n">
        <v>46307</v>
      </c>
      <c r="C16" s="20" t="s">
        <v>99</v>
      </c>
      <c r="D16" s="21" t="n">
        <v>0.361111111111111</v>
      </c>
      <c r="E16" s="21" t="n">
        <v>0.767361111111111</v>
      </c>
      <c r="F16" s="22" t="n">
        <f aca="false">ROUND((E16-D16)*1440,0)</f>
        <v>585</v>
      </c>
      <c r="G16" s="23" t="n">
        <f aca="false">F16/60</f>
        <v>9.75</v>
      </c>
      <c r="H16" s="22" t="n">
        <f aca="false">ROUND(MAX(0,D16-$N$2)*1440,0)</f>
        <v>40</v>
      </c>
      <c r="I16" s="24" t="str">
        <f aca="false">IF(H16&gt;0,"Terlambat","Tepat Waktu")</f>
        <v>Terlambat</v>
      </c>
      <c r="J16" s="22" t="n">
        <f aca="false">MAX(0,F16-$N$3-$N$4)</f>
        <v>45</v>
      </c>
      <c r="K16" s="25" t="n">
        <f aca="false">ROUND(J16/60*$N$5,0)</f>
        <v>18750</v>
      </c>
    </row>
    <row r="17" customFormat="false" ht="15" hidden="false" customHeight="false" outlineLevel="0" collapsed="false">
      <c r="A17" s="18" t="n">
        <v>16</v>
      </c>
      <c r="B17" s="19" t="n">
        <v>46307</v>
      </c>
      <c r="C17" s="20" t="s">
        <v>93</v>
      </c>
      <c r="D17" s="21" t="n">
        <v>0.322916666666667</v>
      </c>
      <c r="E17" s="21" t="n">
        <v>0.777777777777778</v>
      </c>
      <c r="F17" s="22" t="n">
        <f aca="false">ROUND((E17-D17)*1440,0)</f>
        <v>655</v>
      </c>
      <c r="G17" s="23" t="n">
        <f aca="false">F17/60</f>
        <v>10.9166666666667</v>
      </c>
      <c r="H17" s="22" t="n">
        <f aca="false">ROUND(MAX(0,D17-$N$2)*1440,0)</f>
        <v>0</v>
      </c>
      <c r="I17" s="24" t="str">
        <f aca="false">IF(H17&gt;0,"Terlambat","Tepat Waktu")</f>
        <v>Tepat Waktu</v>
      </c>
      <c r="J17" s="22" t="n">
        <f aca="false">MAX(0,F17-$N$3-$N$4)</f>
        <v>115</v>
      </c>
      <c r="K17" s="25" t="n">
        <f aca="false">ROUND(J17/60*$N$5,0)</f>
        <v>47917</v>
      </c>
    </row>
    <row r="18" customFormat="false" ht="15" hidden="false" customHeight="false" outlineLevel="0" collapsed="false">
      <c r="A18" s="18" t="n">
        <v>17</v>
      </c>
      <c r="B18" s="19" t="n">
        <v>46307</v>
      </c>
      <c r="C18" s="20" t="s">
        <v>98</v>
      </c>
      <c r="D18" s="21" t="n">
        <v>0.340277777777778</v>
      </c>
      <c r="E18" s="21" t="n">
        <v>0.701388888888889</v>
      </c>
      <c r="F18" s="22" t="n">
        <f aca="false">ROUND((E18-D18)*1440,0)</f>
        <v>520</v>
      </c>
      <c r="G18" s="23" t="n">
        <f aca="false">F18/60</f>
        <v>8.66666666666667</v>
      </c>
      <c r="H18" s="22" t="n">
        <f aca="false">ROUND(MAX(0,D18-$N$2)*1440,0)</f>
        <v>10</v>
      </c>
      <c r="I18" s="24" t="str">
        <f aca="false">IF(H18&gt;0,"Terlambat","Tepat Waktu")</f>
        <v>Terlambat</v>
      </c>
      <c r="J18" s="22" t="n">
        <f aca="false">MAX(0,F18-$N$3-$N$4)</f>
        <v>0</v>
      </c>
      <c r="K18" s="25" t="n">
        <f aca="false">ROUND(J18/60*$N$5,0)</f>
        <v>0</v>
      </c>
    </row>
    <row r="19" customFormat="false" ht="15" hidden="false" customHeight="false" outlineLevel="0" collapsed="false">
      <c r="A19" s="18" t="n">
        <v>18</v>
      </c>
      <c r="B19" s="19" t="n">
        <v>46309</v>
      </c>
      <c r="C19" s="20" t="s">
        <v>88</v>
      </c>
      <c r="D19" s="21" t="n">
        <v>0.347222222222222</v>
      </c>
      <c r="E19" s="21" t="n">
        <v>0.743055555555556</v>
      </c>
      <c r="F19" s="22" t="n">
        <f aca="false">ROUND((E19-D19)*1440,0)</f>
        <v>570</v>
      </c>
      <c r="G19" s="23" t="n">
        <f aca="false">F19/60</f>
        <v>9.5</v>
      </c>
      <c r="H19" s="22" t="n">
        <f aca="false">ROUND(MAX(0,D19-$N$2)*1440,0)</f>
        <v>20</v>
      </c>
      <c r="I19" s="24" t="str">
        <f aca="false">IF(H19&gt;0,"Terlambat","Tepat Waktu")</f>
        <v>Terlambat</v>
      </c>
      <c r="J19" s="22" t="n">
        <f aca="false">MAX(0,F19-$N$3-$N$4)</f>
        <v>30</v>
      </c>
      <c r="K19" s="25" t="n">
        <f aca="false">ROUND(J19/60*$N$5,0)</f>
        <v>12500</v>
      </c>
    </row>
    <row r="20" customFormat="false" ht="15" hidden="false" customHeight="false" outlineLevel="0" collapsed="false">
      <c r="A20" s="18" t="n">
        <v>19</v>
      </c>
      <c r="B20" s="19" t="n">
        <v>46309</v>
      </c>
      <c r="C20" s="20" t="s">
        <v>99</v>
      </c>
      <c r="D20" s="21" t="n">
        <v>0.336805555555556</v>
      </c>
      <c r="E20" s="21" t="n">
        <v>0.756944444444444</v>
      </c>
      <c r="F20" s="22" t="n">
        <f aca="false">ROUND((E20-D20)*1440,0)</f>
        <v>605</v>
      </c>
      <c r="G20" s="23" t="n">
        <f aca="false">F20/60</f>
        <v>10.0833333333333</v>
      </c>
      <c r="H20" s="22" t="n">
        <f aca="false">ROUND(MAX(0,D20-$N$2)*1440,0)</f>
        <v>5</v>
      </c>
      <c r="I20" s="24" t="str">
        <f aca="false">IF(H20&gt;0,"Terlambat","Tepat Waktu")</f>
        <v>Terlambat</v>
      </c>
      <c r="J20" s="22" t="n">
        <f aca="false">MAX(0,F20-$N$3-$N$4)</f>
        <v>65</v>
      </c>
      <c r="K20" s="25" t="n">
        <f aca="false">ROUND(J20/60*$N$5,0)</f>
        <v>27083</v>
      </c>
    </row>
    <row r="21" customFormat="false" ht="15" hidden="false" customHeight="false" outlineLevel="0" collapsed="false">
      <c r="A21" s="18" t="n">
        <v>20</v>
      </c>
      <c r="B21" s="19" t="n">
        <v>46309</v>
      </c>
      <c r="C21" s="20" t="s">
        <v>93</v>
      </c>
      <c r="D21" s="21" t="n">
        <v>0.350694444444444</v>
      </c>
      <c r="E21" s="21" t="n">
        <v>0.711805555555556</v>
      </c>
      <c r="F21" s="22" t="n">
        <f aca="false">ROUND((E21-D21)*1440,0)</f>
        <v>520</v>
      </c>
      <c r="G21" s="23" t="n">
        <f aca="false">F21/60</f>
        <v>8.66666666666667</v>
      </c>
      <c r="H21" s="22" t="n">
        <f aca="false">ROUND(MAX(0,D21-$N$2)*1440,0)</f>
        <v>25</v>
      </c>
      <c r="I21" s="24" t="str">
        <f aca="false">IF(H21&gt;0,"Terlambat","Tepat Waktu")</f>
        <v>Terlambat</v>
      </c>
      <c r="J21" s="22" t="n">
        <f aca="false">MAX(0,F21-$N$3-$N$4)</f>
        <v>0</v>
      </c>
      <c r="K21" s="25" t="n">
        <f aca="false">ROUND(J21/60*$N$5,0)</f>
        <v>0</v>
      </c>
    </row>
    <row r="22" customFormat="false" ht="15" hidden="false" customHeight="false" outlineLevel="0" collapsed="false">
      <c r="A22" s="18" t="n">
        <v>21</v>
      </c>
      <c r="B22" s="19" t="n">
        <v>46309</v>
      </c>
      <c r="C22" s="20" t="s">
        <v>90</v>
      </c>
      <c r="D22" s="21" t="n">
        <v>0.315972222222222</v>
      </c>
      <c r="E22" s="21" t="n">
        <v>0.673611111111111</v>
      </c>
      <c r="F22" s="22" t="n">
        <f aca="false">ROUND((E22-D22)*1440,0)</f>
        <v>515</v>
      </c>
      <c r="G22" s="23" t="n">
        <f aca="false">F22/60</f>
        <v>8.58333333333333</v>
      </c>
      <c r="H22" s="22" t="n">
        <f aca="false">ROUND(MAX(0,D22-$N$2)*1440,0)</f>
        <v>0</v>
      </c>
      <c r="I22" s="24" t="str">
        <f aca="false">IF(H22&gt;0,"Terlambat","Tepat Waktu")</f>
        <v>Tepat Waktu</v>
      </c>
      <c r="J22" s="22" t="n">
        <f aca="false">MAX(0,F22-$N$3-$N$4)</f>
        <v>0</v>
      </c>
      <c r="K22" s="25" t="n">
        <f aca="false">ROUND(J22/60*$N$5,0)</f>
        <v>0</v>
      </c>
    </row>
    <row r="23" customFormat="false" ht="15" hidden="false" customHeight="false" outlineLevel="0" collapsed="false">
      <c r="A23" s="18" t="n">
        <v>22</v>
      </c>
      <c r="B23" s="19" t="n">
        <v>46310</v>
      </c>
      <c r="C23" s="20" t="s">
        <v>96</v>
      </c>
      <c r="D23" s="21" t="n">
        <v>0.34375</v>
      </c>
      <c r="E23" s="21" t="n">
        <v>0.694444444444444</v>
      </c>
      <c r="F23" s="22" t="n">
        <f aca="false">ROUND((E23-D23)*1440,0)</f>
        <v>505</v>
      </c>
      <c r="G23" s="23" t="n">
        <f aca="false">F23/60</f>
        <v>8.41666666666667</v>
      </c>
      <c r="H23" s="22" t="n">
        <f aca="false">ROUND(MAX(0,D23-$N$2)*1440,0)</f>
        <v>15</v>
      </c>
      <c r="I23" s="24" t="str">
        <f aca="false">IF(H23&gt;0,"Terlambat","Tepat Waktu")</f>
        <v>Terlambat</v>
      </c>
      <c r="J23" s="22" t="n">
        <f aca="false">MAX(0,F23-$N$3-$N$4)</f>
        <v>0</v>
      </c>
      <c r="K23" s="25" t="n">
        <f aca="false">ROUND(J23/60*$N$5,0)</f>
        <v>0</v>
      </c>
    </row>
    <row r="24" customFormat="false" ht="15" hidden="false" customHeight="false" outlineLevel="0" collapsed="false">
      <c r="A24" s="18" t="n">
        <v>23</v>
      </c>
      <c r="B24" s="19" t="n">
        <v>46311</v>
      </c>
      <c r="C24" s="20" t="s">
        <v>98</v>
      </c>
      <c r="D24" s="21" t="n">
        <v>0.3125</v>
      </c>
      <c r="E24" s="21" t="n">
        <v>0.670138888888889</v>
      </c>
      <c r="F24" s="22" t="n">
        <f aca="false">ROUND((E24-D24)*1440,0)</f>
        <v>515</v>
      </c>
      <c r="G24" s="23" t="n">
        <f aca="false">F24/60</f>
        <v>8.58333333333333</v>
      </c>
      <c r="H24" s="22" t="n">
        <f aca="false">ROUND(MAX(0,D24-$N$2)*1440,0)</f>
        <v>0</v>
      </c>
      <c r="I24" s="24" t="str">
        <f aca="false">IF(H24&gt;0,"Terlambat","Tepat Waktu")</f>
        <v>Tepat Waktu</v>
      </c>
      <c r="J24" s="22" t="n">
        <f aca="false">MAX(0,F24-$N$3-$N$4)</f>
        <v>0</v>
      </c>
      <c r="K24" s="25" t="n">
        <f aca="false">ROUND(J24/60*$N$5,0)</f>
        <v>0</v>
      </c>
    </row>
    <row r="25" customFormat="false" ht="15" hidden="false" customHeight="false" outlineLevel="0" collapsed="false">
      <c r="A25" s="18" t="n">
        <v>24</v>
      </c>
      <c r="B25" s="19" t="n">
        <v>46316</v>
      </c>
      <c r="C25" s="20" t="s">
        <v>96</v>
      </c>
      <c r="D25" s="21" t="n">
        <v>0.3125</v>
      </c>
      <c r="E25" s="21" t="n">
        <v>0.673611111111111</v>
      </c>
      <c r="F25" s="22" t="n">
        <f aca="false">ROUND((E25-D25)*1440,0)</f>
        <v>520</v>
      </c>
      <c r="G25" s="23" t="n">
        <f aca="false">F25/60</f>
        <v>8.66666666666667</v>
      </c>
      <c r="H25" s="22" t="n">
        <f aca="false">ROUND(MAX(0,D25-$N$2)*1440,0)</f>
        <v>0</v>
      </c>
      <c r="I25" s="24" t="str">
        <f aca="false">IF(H25&gt;0,"Terlambat","Tepat Waktu")</f>
        <v>Tepat Waktu</v>
      </c>
      <c r="J25" s="22" t="n">
        <f aca="false">MAX(0,F25-$N$3-$N$4)</f>
        <v>0</v>
      </c>
      <c r="K25" s="25" t="n">
        <f aca="false">ROUND(J25/60*$N$5,0)</f>
        <v>0</v>
      </c>
    </row>
    <row r="26" customFormat="false" ht="15" hidden="false" customHeight="false" outlineLevel="0" collapsed="false">
      <c r="A26" s="18" t="n">
        <v>25</v>
      </c>
      <c r="B26" s="19" t="n">
        <v>46317</v>
      </c>
      <c r="C26" s="20" t="s">
        <v>99</v>
      </c>
      <c r="D26" s="21" t="n">
        <v>0.329861111111111</v>
      </c>
      <c r="E26" s="21" t="n">
        <v>0.725694444444444</v>
      </c>
      <c r="F26" s="22" t="n">
        <f aca="false">ROUND((E26-D26)*1440,0)</f>
        <v>570</v>
      </c>
      <c r="G26" s="23" t="n">
        <f aca="false">F26/60</f>
        <v>9.5</v>
      </c>
      <c r="H26" s="22" t="n">
        <f aca="false">ROUND(MAX(0,D26-$N$2)*1440,0)</f>
        <v>0</v>
      </c>
      <c r="I26" s="24" t="str">
        <f aca="false">IF(H26&gt;0,"Terlambat","Tepat Waktu")</f>
        <v>Tepat Waktu</v>
      </c>
      <c r="J26" s="22" t="n">
        <f aca="false">MAX(0,F26-$N$3-$N$4)</f>
        <v>30</v>
      </c>
      <c r="K26" s="25" t="n">
        <f aca="false">ROUND(J26/60*$N$5,0)</f>
        <v>12500</v>
      </c>
    </row>
    <row r="27" customFormat="false" ht="15" hidden="false" customHeight="false" outlineLevel="0" collapsed="false">
      <c r="A27" s="18" t="n">
        <v>26</v>
      </c>
      <c r="B27" s="19" t="n">
        <v>46321</v>
      </c>
      <c r="C27" s="20" t="s">
        <v>88</v>
      </c>
      <c r="D27" s="21" t="n">
        <v>0.336805555555556</v>
      </c>
      <c r="E27" s="21" t="n">
        <v>0.711805555555556</v>
      </c>
      <c r="F27" s="22" t="n">
        <f aca="false">ROUND((E27-D27)*1440,0)</f>
        <v>540</v>
      </c>
      <c r="G27" s="23" t="n">
        <f aca="false">F27/60</f>
        <v>9</v>
      </c>
      <c r="H27" s="22" t="n">
        <f aca="false">ROUND(MAX(0,D27-$N$2)*1440,0)</f>
        <v>5</v>
      </c>
      <c r="I27" s="24" t="str">
        <f aca="false">IF(H27&gt;0,"Terlambat","Tepat Waktu")</f>
        <v>Terlambat</v>
      </c>
      <c r="J27" s="22" t="n">
        <f aca="false">MAX(0,F27-$N$3-$N$4)</f>
        <v>0</v>
      </c>
      <c r="K27" s="25" t="n">
        <f aca="false">ROUND(J27/60*$N$5,0)</f>
        <v>0</v>
      </c>
    </row>
    <row r="28" customFormat="false" ht="15" hidden="false" customHeight="false" outlineLevel="0" collapsed="false">
      <c r="A28" s="18" t="n">
        <v>27</v>
      </c>
      <c r="B28" s="19" t="n">
        <v>46322</v>
      </c>
      <c r="C28" s="20" t="s">
        <v>88</v>
      </c>
      <c r="D28" s="21" t="n">
        <v>0.361111111111111</v>
      </c>
      <c r="E28" s="21" t="n">
        <v>0.725694444444444</v>
      </c>
      <c r="F28" s="22" t="n">
        <f aca="false">ROUND((E28-D28)*1440,0)</f>
        <v>525</v>
      </c>
      <c r="G28" s="23" t="n">
        <f aca="false">F28/60</f>
        <v>8.75</v>
      </c>
      <c r="H28" s="22" t="n">
        <f aca="false">ROUND(MAX(0,D28-$N$2)*1440,0)</f>
        <v>40</v>
      </c>
      <c r="I28" s="24" t="str">
        <f aca="false">IF(H28&gt;0,"Terlambat","Tepat Waktu")</f>
        <v>Terlambat</v>
      </c>
      <c r="J28" s="22" t="n">
        <f aca="false">MAX(0,F28-$N$3-$N$4)</f>
        <v>0</v>
      </c>
      <c r="K28" s="25" t="n">
        <f aca="false">ROUND(J28/60*$N$5,0)</f>
        <v>0</v>
      </c>
    </row>
    <row r="29" customFormat="false" ht="15" hidden="false" customHeight="false" outlineLevel="0" collapsed="false">
      <c r="A29" s="18" t="n">
        <v>28</v>
      </c>
      <c r="B29" s="19" t="n">
        <v>46322</v>
      </c>
      <c r="C29" s="20" t="s">
        <v>93</v>
      </c>
      <c r="D29" s="21" t="n">
        <v>0.361111111111111</v>
      </c>
      <c r="E29" s="21" t="n">
        <v>0.729166666666667</v>
      </c>
      <c r="F29" s="22" t="n">
        <f aca="false">ROUND((E29-D29)*1440,0)</f>
        <v>530</v>
      </c>
      <c r="G29" s="23" t="n">
        <f aca="false">F29/60</f>
        <v>8.83333333333333</v>
      </c>
      <c r="H29" s="22" t="n">
        <f aca="false">ROUND(MAX(0,D29-$N$2)*1440,0)</f>
        <v>40</v>
      </c>
      <c r="I29" s="24" t="str">
        <f aca="false">IF(H29&gt;0,"Terlambat","Tepat Waktu")</f>
        <v>Terlambat</v>
      </c>
      <c r="J29" s="22" t="n">
        <f aca="false">MAX(0,F29-$N$3-$N$4)</f>
        <v>0</v>
      </c>
      <c r="K29" s="25" t="n">
        <f aca="false">ROUND(J29/60*$N$5,0)</f>
        <v>0</v>
      </c>
    </row>
    <row r="30" customFormat="false" ht="15" hidden="false" customHeight="false" outlineLevel="0" collapsed="false">
      <c r="A30" s="18" t="n">
        <v>29</v>
      </c>
      <c r="B30" s="19" t="n">
        <v>46323</v>
      </c>
      <c r="C30" s="20" t="s">
        <v>99</v>
      </c>
      <c r="D30" s="21" t="n">
        <v>0.315972222222222</v>
      </c>
      <c r="E30" s="21" t="n">
        <v>0.763888888888889</v>
      </c>
      <c r="F30" s="22" t="n">
        <f aca="false">ROUND((E30-D30)*1440,0)</f>
        <v>645</v>
      </c>
      <c r="G30" s="23" t="n">
        <f aca="false">F30/60</f>
        <v>10.75</v>
      </c>
      <c r="H30" s="22" t="n">
        <f aca="false">ROUND(MAX(0,D30-$N$2)*1440,0)</f>
        <v>0</v>
      </c>
      <c r="I30" s="24" t="str">
        <f aca="false">IF(H30&gt;0,"Terlambat","Tepat Waktu")</f>
        <v>Tepat Waktu</v>
      </c>
      <c r="J30" s="22" t="n">
        <f aca="false">MAX(0,F30-$N$3-$N$4)</f>
        <v>105</v>
      </c>
      <c r="K30" s="25" t="n">
        <f aca="false">ROUND(J30/60*$N$5,0)</f>
        <v>43750</v>
      </c>
    </row>
    <row r="31" customFormat="false" ht="15" hidden="false" customHeight="false" outlineLevel="0" collapsed="false">
      <c r="A31" s="18" t="n">
        <v>30</v>
      </c>
      <c r="B31" s="19" t="n">
        <v>46323</v>
      </c>
      <c r="C31" s="20" t="s">
        <v>96</v>
      </c>
      <c r="D31" s="21" t="n">
        <v>0.34375</v>
      </c>
      <c r="E31" s="21" t="n">
        <v>0.71875</v>
      </c>
      <c r="F31" s="22" t="n">
        <f aca="false">ROUND((E31-D31)*1440,0)</f>
        <v>540</v>
      </c>
      <c r="G31" s="23" t="n">
        <f aca="false">F31/60</f>
        <v>9</v>
      </c>
      <c r="H31" s="22" t="n">
        <f aca="false">ROUND(MAX(0,D31-$N$2)*1440,0)</f>
        <v>15</v>
      </c>
      <c r="I31" s="24" t="str">
        <f aca="false">IF(H31&gt;0,"Terlambat","Tepat Waktu")</f>
        <v>Terlambat</v>
      </c>
      <c r="J31" s="22" t="n">
        <f aca="false">MAX(0,F31-$N$3-$N$4)</f>
        <v>0</v>
      </c>
      <c r="K31" s="25" t="n">
        <f aca="false">ROUND(J31/60*$N$5,0)</f>
        <v>0</v>
      </c>
    </row>
    <row r="32" customFormat="false" ht="15" hidden="false" customHeight="false" outlineLevel="0" collapsed="false">
      <c r="A32" s="18" t="n">
        <v>31</v>
      </c>
      <c r="B32" s="19" t="n">
        <v>46323</v>
      </c>
      <c r="C32" s="20" t="s">
        <v>90</v>
      </c>
      <c r="D32" s="21" t="n">
        <v>0.347222222222222</v>
      </c>
      <c r="E32" s="21" t="n">
        <v>0.763888888888889</v>
      </c>
      <c r="F32" s="22" t="n">
        <f aca="false">ROUND((E32-D32)*1440,0)</f>
        <v>600</v>
      </c>
      <c r="G32" s="23" t="n">
        <f aca="false">F32/60</f>
        <v>10</v>
      </c>
      <c r="H32" s="22" t="n">
        <f aca="false">ROUND(MAX(0,D32-$N$2)*1440,0)</f>
        <v>20</v>
      </c>
      <c r="I32" s="24" t="str">
        <f aca="false">IF(H32&gt;0,"Terlambat","Tepat Waktu")</f>
        <v>Terlambat</v>
      </c>
      <c r="J32" s="22" t="n">
        <f aca="false">MAX(0,F32-$N$3-$N$4)</f>
        <v>60</v>
      </c>
      <c r="K32" s="25" t="n">
        <f aca="false">ROUND(J32/60*$N$5,0)</f>
        <v>25000</v>
      </c>
    </row>
    <row r="33" customFormat="false" ht="15" hidden="false" customHeight="false" outlineLevel="0" collapsed="false">
      <c r="A33" s="18" t="n">
        <v>32</v>
      </c>
      <c r="B33" s="19" t="n">
        <v>46324</v>
      </c>
      <c r="C33" s="20" t="s">
        <v>96</v>
      </c>
      <c r="D33" s="21" t="n">
        <v>0.333333333333333</v>
      </c>
      <c r="E33" s="21" t="n">
        <v>0.684027777777778</v>
      </c>
      <c r="F33" s="22" t="n">
        <f aca="false">ROUND((E33-D33)*1440,0)</f>
        <v>505</v>
      </c>
      <c r="G33" s="23" t="n">
        <f aca="false">F33/60</f>
        <v>8.41666666666667</v>
      </c>
      <c r="H33" s="22" t="n">
        <f aca="false">ROUND(MAX(0,D33-$N$2)*1440,0)</f>
        <v>0</v>
      </c>
      <c r="I33" s="24" t="str">
        <f aca="false">IF(H33&gt;0,"Terlambat","Tepat Waktu")</f>
        <v>Tepat Waktu</v>
      </c>
      <c r="J33" s="22" t="n">
        <f aca="false">MAX(0,F33-$N$3-$N$4)</f>
        <v>0</v>
      </c>
      <c r="K33" s="25" t="n">
        <f aca="false">ROUND(J33/60*$N$5,0)</f>
        <v>0</v>
      </c>
    </row>
    <row r="34" customFormat="false" ht="15" hidden="false" customHeight="false" outlineLevel="0" collapsed="false">
      <c r="A34" s="18" t="n">
        <v>33</v>
      </c>
      <c r="B34" s="19" t="n">
        <v>46324</v>
      </c>
      <c r="C34" s="20" t="s">
        <v>93</v>
      </c>
      <c r="D34" s="21" t="n">
        <v>0.326388888888889</v>
      </c>
      <c r="E34" s="21" t="n">
        <v>0.777777777777778</v>
      </c>
      <c r="F34" s="22" t="n">
        <f aca="false">ROUND((E34-D34)*1440,0)</f>
        <v>650</v>
      </c>
      <c r="G34" s="23" t="n">
        <f aca="false">F34/60</f>
        <v>10.8333333333333</v>
      </c>
      <c r="H34" s="22" t="n">
        <f aca="false">ROUND(MAX(0,D34-$N$2)*1440,0)</f>
        <v>0</v>
      </c>
      <c r="I34" s="24" t="str">
        <f aca="false">IF(H34&gt;0,"Terlambat","Tepat Waktu")</f>
        <v>Tepat Waktu</v>
      </c>
      <c r="J34" s="22" t="n">
        <f aca="false">MAX(0,F34-$N$3-$N$4)</f>
        <v>110</v>
      </c>
      <c r="K34" s="25" t="n">
        <f aca="false">ROUND(J34/60*$N$5,0)</f>
        <v>45833</v>
      </c>
    </row>
    <row r="35" customFormat="false" ht="15" hidden="false" customHeight="false" outlineLevel="0" collapsed="false">
      <c r="A35" s="18" t="n">
        <v>34</v>
      </c>
      <c r="B35" s="19" t="n">
        <v>46324</v>
      </c>
      <c r="C35" s="20" t="s">
        <v>90</v>
      </c>
      <c r="D35" s="21" t="n">
        <v>0.315972222222222</v>
      </c>
      <c r="E35" s="21" t="n">
        <v>0.746527777777778</v>
      </c>
      <c r="F35" s="22" t="n">
        <f aca="false">ROUND((E35-D35)*1440,0)</f>
        <v>620</v>
      </c>
      <c r="G35" s="23" t="n">
        <f aca="false">F35/60</f>
        <v>10.3333333333333</v>
      </c>
      <c r="H35" s="22" t="n">
        <f aca="false">ROUND(MAX(0,D35-$N$2)*1440,0)</f>
        <v>0</v>
      </c>
      <c r="I35" s="24" t="str">
        <f aca="false">IF(H35&gt;0,"Terlambat","Tepat Waktu")</f>
        <v>Tepat Waktu</v>
      </c>
      <c r="J35" s="22" t="n">
        <f aca="false">MAX(0,F35-$N$3-$N$4)</f>
        <v>80</v>
      </c>
      <c r="K35" s="25" t="n">
        <f aca="false">ROUND(J35/60*$N$5,0)</f>
        <v>33333</v>
      </c>
    </row>
    <row r="36" customFormat="false" ht="15" hidden="false" customHeight="false" outlineLevel="0" collapsed="false">
      <c r="A36" s="18" t="n">
        <v>35</v>
      </c>
      <c r="B36" s="19" t="n">
        <v>46325</v>
      </c>
      <c r="C36" s="20" t="s">
        <v>98</v>
      </c>
      <c r="D36" s="21" t="n">
        <v>0.322916666666667</v>
      </c>
      <c r="E36" s="21" t="n">
        <v>0.763888888888889</v>
      </c>
      <c r="F36" s="22" t="n">
        <f aca="false">ROUND((E36-D36)*1440,0)</f>
        <v>635</v>
      </c>
      <c r="G36" s="23" t="n">
        <f aca="false">F36/60</f>
        <v>10.5833333333333</v>
      </c>
      <c r="H36" s="22" t="n">
        <f aca="false">ROUND(MAX(0,D36-$N$2)*1440,0)</f>
        <v>0</v>
      </c>
      <c r="I36" s="24" t="str">
        <f aca="false">IF(H36&gt;0,"Terlambat","Tepat Waktu")</f>
        <v>Tepat Waktu</v>
      </c>
      <c r="J36" s="22" t="n">
        <f aca="false">MAX(0,F36-$N$3-$N$4)</f>
        <v>95</v>
      </c>
      <c r="K36" s="25" t="n">
        <f aca="false">ROUND(J36/60*$N$5,0)</f>
        <v>39583</v>
      </c>
    </row>
    <row r="37" customFormat="false" ht="15" hidden="false" customHeight="false" outlineLevel="0" collapsed="false">
      <c r="A37" s="18" t="n">
        <v>36</v>
      </c>
      <c r="B37" s="19" t="n">
        <v>46325</v>
      </c>
      <c r="C37" s="20" t="s">
        <v>90</v>
      </c>
      <c r="D37" s="21" t="n">
        <v>0.315972222222222</v>
      </c>
      <c r="E37" s="21" t="n">
        <v>0.704861111111111</v>
      </c>
      <c r="F37" s="22" t="n">
        <f aca="false">ROUND((E37-D37)*1440,0)</f>
        <v>560</v>
      </c>
      <c r="G37" s="23" t="n">
        <f aca="false">F37/60</f>
        <v>9.33333333333333</v>
      </c>
      <c r="H37" s="22" t="n">
        <f aca="false">ROUND(MAX(0,D37-$N$2)*1440,0)</f>
        <v>0</v>
      </c>
      <c r="I37" s="24" t="str">
        <f aca="false">IF(H37&gt;0,"Terlambat","Tepat Waktu")</f>
        <v>Tepat Waktu</v>
      </c>
      <c r="J37" s="22" t="n">
        <f aca="false">MAX(0,F37-$N$3-$N$4)</f>
        <v>20</v>
      </c>
      <c r="K37" s="25" t="n">
        <f aca="false">ROUND(J37/60*$N$5,0)</f>
        <v>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33.75" hidden="false" customHeight="true" outlineLevel="0" collapsed="false">
      <c r="A1" s="12" t="s">
        <v>76</v>
      </c>
      <c r="B1" s="16" t="s">
        <v>100</v>
      </c>
      <c r="C1" s="16" t="s">
        <v>101</v>
      </c>
      <c r="D1" s="16" t="s">
        <v>102</v>
      </c>
    </row>
    <row r="2" customFormat="false" ht="15" hidden="false" customHeight="false" outlineLevel="0" collapsed="false">
      <c r="A2" s="20" t="s">
        <v>93</v>
      </c>
      <c r="B2" s="22" t="n">
        <f aca="false">COUNTIF(Data!$C$2:$C$37,A2)</f>
        <v>6</v>
      </c>
      <c r="C2" s="22" t="n">
        <f aca="false">SUMIF(Data!$C$2:$C$37,A2,Data!$J$2:$J$37)</f>
        <v>355</v>
      </c>
      <c r="D2" s="25" t="n">
        <f aca="false">SUMIF(Data!$C$2:$C$37,A2,Data!$K$2:$K$37)</f>
        <v>147916</v>
      </c>
    </row>
    <row r="3" customFormat="false" ht="15" hidden="false" customHeight="false" outlineLevel="0" collapsed="false">
      <c r="A3" s="20" t="s">
        <v>88</v>
      </c>
      <c r="B3" s="22" t="n">
        <f aca="false">COUNTIF(Data!$C$2:$C$37,A3)</f>
        <v>6</v>
      </c>
      <c r="C3" s="22" t="n">
        <f aca="false">SUMIF(Data!$C$2:$C$37,A3,Data!$J$2:$J$37)</f>
        <v>175</v>
      </c>
      <c r="D3" s="25" t="n">
        <f aca="false">SUMIF(Data!$C$2:$C$37,A3,Data!$K$2:$K$37)</f>
        <v>72916</v>
      </c>
    </row>
    <row r="4" customFormat="false" ht="15" hidden="false" customHeight="false" outlineLevel="0" collapsed="false">
      <c r="A4" s="20" t="s">
        <v>98</v>
      </c>
      <c r="B4" s="22" t="n">
        <f aca="false">COUNTIF(Data!$C$2:$C$37,A4)</f>
        <v>6</v>
      </c>
      <c r="C4" s="22" t="n">
        <f aca="false">SUMIF(Data!$C$2:$C$37,A4,Data!$J$2:$J$37)</f>
        <v>240</v>
      </c>
      <c r="D4" s="25" t="n">
        <f aca="false">SUMIF(Data!$C$2:$C$37,A4,Data!$K$2:$K$37)</f>
        <v>100000</v>
      </c>
    </row>
    <row r="5" customFormat="false" ht="15" hidden="false" customHeight="false" outlineLevel="0" collapsed="false">
      <c r="A5" s="20" t="s">
        <v>99</v>
      </c>
      <c r="B5" s="22" t="n">
        <f aca="false">COUNTIF(Data!$C$2:$C$37,A5)</f>
        <v>6</v>
      </c>
      <c r="C5" s="22" t="n">
        <f aca="false">SUMIF(Data!$C$2:$C$37,A5,Data!$J$2:$J$37)</f>
        <v>250</v>
      </c>
      <c r="D5" s="25" t="n">
        <f aca="false">SUMIF(Data!$C$2:$C$37,A5,Data!$K$2:$K$37)</f>
        <v>104166</v>
      </c>
    </row>
    <row r="6" customFormat="false" ht="15" hidden="false" customHeight="false" outlineLevel="0" collapsed="false">
      <c r="A6" s="20" t="s">
        <v>96</v>
      </c>
      <c r="B6" s="22" t="n">
        <f aca="false">COUNTIF(Data!$C$2:$C$37,A6)</f>
        <v>6</v>
      </c>
      <c r="C6" s="22" t="n">
        <f aca="false">SUMIF(Data!$C$2:$C$37,A6,Data!$J$2:$J$37)</f>
        <v>70</v>
      </c>
      <c r="D6" s="25" t="n">
        <f aca="false">SUMIF(Data!$C$2:$C$37,A6,Data!$K$2:$K$37)</f>
        <v>29167</v>
      </c>
    </row>
    <row r="7" customFormat="false" ht="15" hidden="false" customHeight="false" outlineLevel="0" collapsed="false">
      <c r="A7" s="20" t="s">
        <v>90</v>
      </c>
      <c r="B7" s="22" t="n">
        <f aca="false">COUNTIF(Data!$C$2:$C$37,A7)</f>
        <v>6</v>
      </c>
      <c r="C7" s="22" t="n">
        <f aca="false">SUMIF(Data!$C$2:$C$37,A7,Data!$J$2:$J$37)</f>
        <v>335</v>
      </c>
      <c r="D7" s="25" t="n">
        <f aca="false">SUMIF(Data!$C$2:$C$37,A7,Data!$K$2:$K$37)</f>
        <v>139582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31" t="s">
        <v>103</v>
      </c>
      <c r="B1" s="31"/>
      <c r="C1" s="31"/>
      <c r="D1" s="31"/>
    </row>
    <row r="2" customFormat="false" ht="15" hidden="false" customHeight="false" outlineLevel="0" collapsed="false">
      <c r="A2" s="32" t="s">
        <v>104</v>
      </c>
      <c r="B2" s="32"/>
      <c r="C2" s="32"/>
      <c r="D2" s="32"/>
    </row>
    <row r="3" customFormat="false" ht="15" hidden="false" customHeight="false" outlineLevel="0" collapsed="false">
      <c r="A3" s="12" t="s">
        <v>19</v>
      </c>
      <c r="B3" s="12" t="s">
        <v>105</v>
      </c>
      <c r="C3" s="12" t="s">
        <v>106</v>
      </c>
      <c r="D3" s="12" t="s">
        <v>107</v>
      </c>
    </row>
    <row r="4" customFormat="false" ht="19.5" hidden="false" customHeight="true" outlineLevel="0" collapsed="false">
      <c r="A4" s="33" t="s">
        <v>47</v>
      </c>
      <c r="B4" s="34" t="s">
        <v>108</v>
      </c>
      <c r="C4" s="22" t="n">
        <f aca="false">COUNTIF(Data!$I$2:$I$37,"Terlambat")</f>
        <v>20</v>
      </c>
      <c r="D4" s="28" t="s">
        <v>109</v>
      </c>
    </row>
    <row r="5" customFormat="false" ht="19.5" hidden="false" customHeight="true" outlineLevel="0" collapsed="false">
      <c r="A5" s="33" t="s">
        <v>110</v>
      </c>
      <c r="B5" s="34" t="s">
        <v>111</v>
      </c>
      <c r="C5" s="23" t="n">
        <f aca="false">SUM(Data!$J$2:$J$37)/60</f>
        <v>23.75</v>
      </c>
      <c r="D5" s="28" t="s">
        <v>112</v>
      </c>
    </row>
    <row r="6" customFormat="false" ht="19.5" hidden="false" customHeight="true" outlineLevel="0" collapsed="false">
      <c r="A6" s="33" t="s">
        <v>113</v>
      </c>
      <c r="B6" s="34" t="s">
        <v>114</v>
      </c>
      <c r="C6" s="25" t="n">
        <f aca="false">SUM(Data!$K$2:$K$37)</f>
        <v>593747</v>
      </c>
      <c r="D6" s="28" t="s">
        <v>112</v>
      </c>
    </row>
    <row r="7" customFormat="false" ht="19.5" hidden="false" customHeight="true" outlineLevel="0" collapsed="false">
      <c r="A7" s="33" t="s">
        <v>55</v>
      </c>
      <c r="B7" s="34" t="s">
        <v>115</v>
      </c>
      <c r="C7" s="23" t="n">
        <f aca="false">AVERAGE(Data!$G$2:$G$37)</f>
        <v>9.53935185185185</v>
      </c>
      <c r="D7" s="28" t="s">
        <v>116</v>
      </c>
    </row>
    <row r="8" customFormat="false" ht="19.5" hidden="false" customHeight="true" outlineLevel="0" collapsed="false">
      <c r="A8" s="33" t="s">
        <v>71</v>
      </c>
      <c r="B8" s="34" t="s">
        <v>117</v>
      </c>
      <c r="C8" s="24" t="str">
        <f aca="false">INDEX(Acuan!$A$2:$A$7,MATCH(MAX(Acuan!$C$2:$C$7),Acuan!$C$2:$C$7,0))</f>
        <v>Putri Nugroho</v>
      </c>
      <c r="D8" s="28" t="s">
        <v>118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2026-10-10T06:49:19Z</dcterms:created>
  <dc:creator>PushExcel</dc:creator>
  <dc:description/>
  <dc:language>en-US</dc:language>
  <cp:lastModifiedBy/>
  <dcterms:modified xsi:type="dcterms:W3CDTF">2026-10-10T06:49:19Z</dcterms:modified>
  <cp:revision>0</cp:revision>
  <dc:subject/>
  <dc:title>Jam Kerja, Keterlambatan, dan Lembur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