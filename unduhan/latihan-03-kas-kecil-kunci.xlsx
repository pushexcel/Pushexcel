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<sst xmlns="http://schemas.openxmlformats.org/spreadsheetml/2006/main" count="181" uniqueCount="114">
  <si>
    <t xml:space="preserve">Kunci Jawaban: Buku Kas Kecil Bulanan</t>
  </si>
  <si>
    <t xml:space="preserve">Latihan 3 dari 24  |  Tingkat: Pemula  |  Perkiraan waktu: 40 menit  |  pushexcel.github.io/Pushexcel</t>
  </si>
  <si>
    <t xml:space="preserve">Skenario</t>
  </si>
  <si>
    <t xml:space="preserve">Kamu bendahara kantor kecil dan memegang kas kecil. Saldo awal Oktober 2026 adalah Rp 5.000.000. Sepanjang bulan ada 3 kali pengisian kas dan banyak pengeluaran harian. Kamu menyusun buku kas, menghitung saldo setiap transaksi, lalu merekap pengeluaran per kategori untuk laporan ke atasan.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</si>
  <si>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</si>
  <si>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</si>
  <si>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</si>
  <si>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</si>
  <si>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</si>
  <si>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</si>
  <si>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</si>
  <si>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</si>
  <si>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</si>
  <si>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</si>
  <si>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</si>
  <si>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</si>
  <si>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</si>
  <si>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</si>
  <si>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</si>
  <si>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</si>
  <si>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</si>
  <si>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</si>
  <si>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</si>
  <si>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</si>
  <si>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saldo setelah tiap transaksi: saldo awal ditambah semua penerimaan sampai baris itu, dikurangi semua pengeluaran sampai baris itu.</t>
  </si>
  <si>
    <t xml:space="preserve">Sheet Data, kolom G (Saldo), baris 2 sampai 37</t>
  </si>
  <si>
    <t xml:space="preserve">=$K$2+SUM(E$2:E2)-SUM(F$2:F2)</t>
  </si>
  <si>
    <t xml:space="preserve">2</t>
  </si>
  <si>
    <t xml:space="preserve">Tandai Ya bila pengeluaran sama dengan atau di atas batas persetujuan, selain itu Tidak. Baris penerimaan otomatis Tidak.</t>
  </si>
  <si>
    <t xml:space="preserve">Sheet Data, kolom H (Perlu Persetujuan), baris 2 sampai 37</t>
  </si>
  <si>
    <t xml:space="preserve">=IF(F2&gt;=$K$3;"Ya";"Tidak")</t>
  </si>
  <si>
    <t xml:space="preserve">3</t>
  </si>
  <si>
    <t xml:space="preserve">Berapa total penerimaan selama Oktober?</t>
  </si>
  <si>
    <t xml:space="preserve">Sheet Ringkasan, sel C4</t>
  </si>
  <si>
    <t xml:space="preserve">=SUM(Data!$E$2:$E$37)</t>
  </si>
  <si>
    <t xml:space="preserve">4</t>
  </si>
  <si>
    <t xml:space="preserve">Berapa total pengeluaran selama Oktober?</t>
  </si>
  <si>
    <t xml:space="preserve">Sheet Ringkasan, sel C5</t>
  </si>
  <si>
    <t xml:space="preserve">=SUM(Data!$F$2:$F$37)</t>
  </si>
  <si>
    <t xml:space="preserve">5</t>
  </si>
  <si>
    <t xml:space="preserve">Berapa saldo akhir kas kecil? Hitung dari saldo awal, total penerimaan, dan total pengeluaran.</t>
  </si>
  <si>
    <t xml:space="preserve">Sheet Ringkasan, sel C6</t>
  </si>
  <si>
    <t xml:space="preserve">=Data!$K$2+SUM(Data!$E$2:$E$37)-SUM(Data!$F$2:$F$37)</t>
  </si>
  <si>
    <t xml:space="preserve">6</t>
  </si>
  <si>
    <t xml:space="preserve">Pada sheet Acuan, hitung total pengeluaran untuk tiap kategori.</t>
  </si>
  <si>
    <t xml:space="preserve">Sheet Acuan, kolom B (Total Pengeluaran), baris 2 sampai 6</t>
  </si>
  <si>
    <t xml:space="preserve">=SUMIF(Data!$D$2:$D$37;A2;Data!$F$2:$F$37)</t>
  </si>
  <si>
    <t xml:space="preserve">7</t>
  </si>
  <si>
    <t xml:space="preserve">Pada sheet Acuan, hitung persentase tiap kategori terhadap total pengeluaran semua kategori.</t>
  </si>
  <si>
    <t xml:space="preserve">Sheet Acuan, kolom C (Persentase dari Total), baris 2 sampai 6</t>
  </si>
  <si>
    <t xml:space="preserve">=B2/SUM($B$2:$B$6)</t>
  </si>
  <si>
    <t xml:space="preserve">8</t>
  </si>
  <si>
    <t xml:space="preserve">Kategori mana yang pengeluarannya terbesar?</t>
  </si>
  <si>
    <t xml:space="preserve">Sheet Ringkasan, sel C7</t>
  </si>
  <si>
    <t xml:space="preserve">=INDEX(Acuan!$A$2:$A$6;MATCH(MAX(Acuan!$B$2:$B$6);Acuan!$B$2:$B$6;0))</t>
  </si>
  <si>
    <t xml:space="preserve">9</t>
  </si>
  <si>
    <t xml:space="preserve">Berapa transaksi pengeluaran yang perlu persetujuan atasan?</t>
  </si>
  <si>
    <t xml:space="preserve">Sheet Ringkasan, sel C8</t>
  </si>
  <si>
    <t xml:space="preserve">=COUNTIF(Data!$H$2:$H$37;"Ya")</t>
  </si>
  <si>
    <t xml:space="preserve">10</t>
  </si>
  <si>
    <t xml:space="preserve">Pada tanggal berapa terjadi pengeluaran tunggal terbesar?</t>
  </si>
  <si>
    <t xml:space="preserve">Sheet Ringkasan, sel C9</t>
  </si>
  <si>
    <t xml:space="preserve">=INDEX(Data!$B$2:$B$37;MATCH(MAX(Data!$F$2:$F$37);Data!$F$2:$F$37;0))</t>
  </si>
  <si>
    <t xml:space="preserve">Tanggal</t>
  </si>
  <si>
    <t xml:space="preserve">Keterangan</t>
  </si>
  <si>
    <t xml:space="preserve">Kategori</t>
  </si>
  <si>
    <t xml:space="preserve">Penerimaan</t>
  </si>
  <si>
    <t xml:space="preserve">Pengeluaran</t>
  </si>
  <si>
    <t xml:space="preserve">Saldo</t>
  </si>
  <si>
    <t xml:space="preserve">Perlu Persetujuan</t>
  </si>
  <si>
    <t xml:space="preserve">Parameter</t>
  </si>
  <si>
    <t xml:space="preserve">Nilai</t>
  </si>
  <si>
    <t xml:space="preserve">Pengisian kas dari kantor pusat</t>
  </si>
  <si>
    <t xml:space="preserve">Saldo awal Oktober 2026</t>
  </si>
  <si>
    <t xml:space="preserve">Kopi dan gula</t>
  </si>
  <si>
    <t xml:space="preserve">Konsumsi</t>
  </si>
  <si>
    <t xml:space="preserve">Batas pengeluaran perlu persetujuan</t>
  </si>
  <si>
    <t xml:space="preserve">Pengeluaran sama dengan atau di atas nilai ini perlu persetujuan atasan</t>
  </si>
  <si>
    <t xml:space="preserve">Snack rapat</t>
  </si>
  <si>
    <t xml:space="preserve">Ongkos kirim dokumen</t>
  </si>
  <si>
    <t xml:space="preserve">Transportasi</t>
  </si>
  <si>
    <t xml:space="preserve">Perbaikan AC</t>
  </si>
  <si>
    <t xml:space="preserve">Lain-lain</t>
  </si>
  <si>
    <t xml:space="preserve">Token listrik</t>
  </si>
  <si>
    <t xml:space="preserve">Listrik dan Air</t>
  </si>
  <si>
    <t xml:space="preserve">Materai</t>
  </si>
  <si>
    <t xml:space="preserve">ATK</t>
  </si>
  <si>
    <t xml:space="preserve">Fotokopi dokumen</t>
  </si>
  <si>
    <t xml:space="preserve">Bensin kendaraan operasional</t>
  </si>
  <si>
    <t xml:space="preserve">Parkir dan tol</t>
  </si>
  <si>
    <t xml:space="preserve">Air galon</t>
  </si>
  <si>
    <t xml:space="preserve">Kertas dan tinta</t>
  </si>
  <si>
    <t xml:space="preserve">Kebersihan kantor</t>
  </si>
  <si>
    <t xml:space="preserve">Iuran air</t>
  </si>
  <si>
    <t xml:space="preserve">Kategori Pengeluaran</t>
  </si>
  <si>
    <t xml:space="preserve">Total Pengeluaran</t>
  </si>
  <si>
    <t xml:space="preserve">Persentase dari Total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</si>
  <si>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</si>
  <si>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</si>
  <si>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</si>
  <si>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</si>
  <si>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</si>
  <si>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penerimaan Oktober</t>
  </si>
  <si>
    <t xml:space="preserve">Rupiah, mis. Rp 7.500.000</t>
  </si>
  <si>
    <t xml:space="preserve">Total pengeluaran Oktober</t>
  </si>
  <si>
    <t xml:space="preserve">Rupiah, mis. Rp 6.200.000</t>
  </si>
  <si>
    <t xml:space="preserve">Saldo akhir kas kecil</t>
  </si>
  <si>
    <t xml:space="preserve">Rupiah, mis. Rp 6.300.000</t>
  </si>
  <si>
    <t xml:space="preserve">Kategori dengan pengeluaran terbesar</t>
  </si>
  <si>
    <t xml:space="preserve">Teks: nama kategori</t>
  </si>
  <si>
    <t xml:space="preserve">Jumlah transaksi perlu persetujuan</t>
  </si>
  <si>
    <t xml:space="preserve">Angka bulat, mis. 7</t>
  </si>
  <si>
    <t xml:space="preserve">Tanggal pengeluaran tunggal terbesar</t>
  </si>
  <si>
    <t xml:space="preserve">Tanggal, mis. 14/10/2026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</si>
</sst>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&quot;Rp &quot;#,##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42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42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42"/>
  </cols>
  <sheetData>
    <row r="1" customFormat="false" ht="33.75" hidden="false" customHeight="true" outlineLevel="0" collapsed="false">
      <c r="A1" s="12" t="s">
        <v>19</v>
      </c>
      <c r="B1" s="12" t="s">
        <v>63</v>
      </c>
      <c r="C1" s="12" t="s">
        <v>64</v>
      </c>
      <c r="D1" s="12" t="s">
        <v>65</v>
      </c>
      <c r="E1" s="12" t="s">
        <v>66</v>
      </c>
      <c r="F1" s="12" t="s">
        <v>67</v>
      </c>
      <c r="G1" s="16" t="s">
        <v>68</v>
      </c>
      <c r="H1" s="16" t="s">
        <v>69</v>
      </c>
      <c r="J1" s="17" t="s">
        <v>70</v>
      </c>
      <c r="K1" s="17" t="s">
        <v>71</v>
      </c>
      <c r="L1" s="17" t="s">
        <v>64</v>
      </c>
    </row>
    <row r="2" customFormat="false" ht="15" hidden="false" customHeight="false" outlineLevel="0" collapsed="false">
      <c r="A2" s="18" t="n">
        <v>1</v>
      </c>
      <c r="B2" s="19" t="n">
        <v>46296</v>
      </c>
      <c r="C2" s="20" t="s">
        <v>72</v>
      </c>
      <c r="D2" s="20" t="s">
        <v>66</v>
      </c>
      <c r="E2" s="21" t="n">
        <v>3000000</v>
      </c>
      <c r="F2" s="21"/>
      <c r="G2" s="22" t="n">
        <f aca="false">$K$2+SUM(E$2:E2)-SUM(F$2:F2)</f>
        <v>8000000</v>
      </c>
      <c r="H2" s="23" t="str">
        <f aca="false">IF(F2&gt;=$K$3,"Ya","Tidak")</f>
        <v>Tidak</v>
      </c>
      <c r="J2" s="24" t="s">
        <v>73</v>
      </c>
      <c r="K2" s="25" t="n">
        <v>5000000</v>
      </c>
      <c r="L2" s="26"/>
    </row>
    <row r="3" customFormat="false" ht="22.35" hidden="false" customHeight="false" outlineLevel="0" collapsed="false">
      <c r="A3" s="18" t="n">
        <v>2</v>
      </c>
      <c r="B3" s="19" t="n">
        <v>46296</v>
      </c>
      <c r="C3" s="20" t="s">
        <v>74</v>
      </c>
      <c r="D3" s="20" t="s">
        <v>75</v>
      </c>
      <c r="E3" s="21"/>
      <c r="F3" s="21" t="n">
        <v>135000</v>
      </c>
      <c r="G3" s="22" t="n">
        <f aca="false">$K$2+SUM(E$2:E3)-SUM(F$2:F3)</f>
        <v>7865000</v>
      </c>
      <c r="H3" s="23" t="str">
        <f aca="false">IF(F3&gt;=$K$3,"Ya","Tidak")</f>
        <v>Tidak</v>
      </c>
      <c r="J3" s="24" t="s">
        <v>76</v>
      </c>
      <c r="K3" s="25" t="n">
        <v>250000</v>
      </c>
      <c r="L3" s="26" t="s">
        <v>77</v>
      </c>
    </row>
    <row r="4" customFormat="false" ht="15" hidden="false" customHeight="false" outlineLevel="0" collapsed="false">
      <c r="A4" s="18" t="n">
        <v>3</v>
      </c>
      <c r="B4" s="19" t="n">
        <v>46300</v>
      </c>
      <c r="C4" s="20" t="s">
        <v>74</v>
      </c>
      <c r="D4" s="20" t="s">
        <v>75</v>
      </c>
      <c r="E4" s="21"/>
      <c r="F4" s="21" t="n">
        <v>80000</v>
      </c>
      <c r="G4" s="22" t="n">
        <f aca="false">$K$2+SUM(E$2:E4)-SUM(F$2:F4)</f>
        <v>7785000</v>
      </c>
      <c r="H4" s="23" t="str">
        <f aca="false">IF(F4&gt;=$K$3,"Ya","Tidak")</f>
        <v>Tidak</v>
      </c>
    </row>
    <row r="5" customFormat="false" ht="15" hidden="false" customHeight="false" outlineLevel="0" collapsed="false">
      <c r="A5" s="18" t="n">
        <v>4</v>
      </c>
      <c r="B5" s="19" t="n">
        <v>46300</v>
      </c>
      <c r="C5" s="20" t="s">
        <v>78</v>
      </c>
      <c r="D5" s="20" t="s">
        <v>75</v>
      </c>
      <c r="E5" s="21"/>
      <c r="F5" s="21" t="n">
        <v>110000</v>
      </c>
      <c r="G5" s="22" t="n">
        <f aca="false">$K$2+SUM(E$2:E5)-SUM(F$2:F5)</f>
        <v>7675000</v>
      </c>
      <c r="H5" s="23" t="str">
        <f aca="false">IF(F5&gt;=$K$3,"Ya","Tidak")</f>
        <v>Tidak</v>
      </c>
    </row>
    <row r="6" customFormat="false" ht="15" hidden="false" customHeight="false" outlineLevel="0" collapsed="false">
      <c r="A6" s="18" t="n">
        <v>5</v>
      </c>
      <c r="B6" s="19" t="n">
        <v>46301</v>
      </c>
      <c r="C6" s="20" t="s">
        <v>79</v>
      </c>
      <c r="D6" s="20" t="s">
        <v>80</v>
      </c>
      <c r="E6" s="21"/>
      <c r="F6" s="21" t="n">
        <v>40000</v>
      </c>
      <c r="G6" s="22" t="n">
        <f aca="false">$K$2+SUM(E$2:E6)-SUM(F$2:F6)</f>
        <v>7635000</v>
      </c>
      <c r="H6" s="23" t="str">
        <f aca="false">IF(F6&gt;=$K$3,"Ya","Tidak")</f>
        <v>Tidak</v>
      </c>
    </row>
    <row r="7" customFormat="false" ht="15" hidden="false" customHeight="false" outlineLevel="0" collapsed="false">
      <c r="A7" s="18" t="n">
        <v>6</v>
      </c>
      <c r="B7" s="19" t="n">
        <v>46301</v>
      </c>
      <c r="C7" s="20" t="s">
        <v>79</v>
      </c>
      <c r="D7" s="20" t="s">
        <v>80</v>
      </c>
      <c r="E7" s="21"/>
      <c r="F7" s="21" t="n">
        <v>15000</v>
      </c>
      <c r="G7" s="22" t="n">
        <f aca="false">$K$2+SUM(E$2:E7)-SUM(F$2:F7)</f>
        <v>7620000</v>
      </c>
      <c r="H7" s="23" t="str">
        <f aca="false">IF(F7&gt;=$K$3,"Ya","Tidak")</f>
        <v>Tidak</v>
      </c>
    </row>
    <row r="8" customFormat="false" ht="15" hidden="false" customHeight="false" outlineLevel="0" collapsed="false">
      <c r="A8" s="18" t="n">
        <v>7</v>
      </c>
      <c r="B8" s="19" t="n">
        <v>46302</v>
      </c>
      <c r="C8" s="20" t="s">
        <v>81</v>
      </c>
      <c r="D8" s="20" t="s">
        <v>82</v>
      </c>
      <c r="E8" s="21"/>
      <c r="F8" s="21" t="n">
        <v>595000</v>
      </c>
      <c r="G8" s="22" t="n">
        <f aca="false">$K$2+SUM(E$2:E8)-SUM(F$2:F8)</f>
        <v>7025000</v>
      </c>
      <c r="H8" s="23" t="str">
        <f aca="false">IF(F8&gt;=$K$3,"Ya","Tidak")</f>
        <v>Ya</v>
      </c>
    </row>
    <row r="9" customFormat="false" ht="15" hidden="false" customHeight="false" outlineLevel="0" collapsed="false">
      <c r="A9" s="18" t="n">
        <v>8</v>
      </c>
      <c r="B9" s="19" t="n">
        <v>46303</v>
      </c>
      <c r="C9" s="20" t="s">
        <v>83</v>
      </c>
      <c r="D9" s="20" t="s">
        <v>84</v>
      </c>
      <c r="E9" s="21"/>
      <c r="F9" s="21" t="n">
        <v>260000</v>
      </c>
      <c r="G9" s="22" t="n">
        <f aca="false">$K$2+SUM(E$2:E9)-SUM(F$2:F9)</f>
        <v>6765000</v>
      </c>
      <c r="H9" s="23" t="str">
        <f aca="false">IF(F9&gt;=$K$3,"Ya","Tidak")</f>
        <v>Ya</v>
      </c>
    </row>
    <row r="10" customFormat="false" ht="15" hidden="false" customHeight="false" outlineLevel="0" collapsed="false">
      <c r="A10" s="18" t="n">
        <v>9</v>
      </c>
      <c r="B10" s="19" t="n">
        <v>46303</v>
      </c>
      <c r="C10" s="20" t="s">
        <v>85</v>
      </c>
      <c r="D10" s="20" t="s">
        <v>86</v>
      </c>
      <c r="E10" s="21"/>
      <c r="F10" s="21" t="n">
        <v>70000</v>
      </c>
      <c r="G10" s="22" t="n">
        <f aca="false">$K$2+SUM(E$2:E10)-SUM(F$2:F10)</f>
        <v>6695000</v>
      </c>
      <c r="H10" s="23" t="str">
        <f aca="false">IF(F10&gt;=$K$3,"Ya","Tidak")</f>
        <v>Tidak</v>
      </c>
    </row>
    <row r="11" customFormat="false" ht="15" hidden="false" customHeight="false" outlineLevel="0" collapsed="false">
      <c r="A11" s="18" t="n">
        <v>10</v>
      </c>
      <c r="B11" s="19" t="n">
        <v>46306</v>
      </c>
      <c r="C11" s="20" t="s">
        <v>87</v>
      </c>
      <c r="D11" s="20" t="s">
        <v>86</v>
      </c>
      <c r="E11" s="21"/>
      <c r="F11" s="21" t="n">
        <v>40000</v>
      </c>
      <c r="G11" s="22" t="n">
        <f aca="false">$K$2+SUM(E$2:E11)-SUM(F$2:F11)</f>
        <v>6655000</v>
      </c>
      <c r="H11" s="23" t="str">
        <f aca="false">IF(F11&gt;=$K$3,"Ya","Tidak")</f>
        <v>Tidak</v>
      </c>
    </row>
    <row r="12" customFormat="false" ht="15" hidden="false" customHeight="false" outlineLevel="0" collapsed="false">
      <c r="A12" s="18" t="n">
        <v>11</v>
      </c>
      <c r="B12" s="19" t="n">
        <v>46307</v>
      </c>
      <c r="C12" s="20" t="s">
        <v>72</v>
      </c>
      <c r="D12" s="20" t="s">
        <v>66</v>
      </c>
      <c r="E12" s="21" t="n">
        <v>2500000</v>
      </c>
      <c r="F12" s="21"/>
      <c r="G12" s="22" t="n">
        <f aca="false">$K$2+SUM(E$2:E12)-SUM(F$2:F12)</f>
        <v>9155000</v>
      </c>
      <c r="H12" s="23" t="str">
        <f aca="false">IF(F12&gt;=$K$3,"Ya","Tidak")</f>
        <v>Tidak</v>
      </c>
    </row>
    <row r="13" customFormat="false" ht="15" hidden="false" customHeight="false" outlineLevel="0" collapsed="false">
      <c r="A13" s="18" t="n">
        <v>12</v>
      </c>
      <c r="B13" s="19" t="n">
        <v>46307</v>
      </c>
      <c r="C13" s="20" t="s">
        <v>78</v>
      </c>
      <c r="D13" s="20" t="s">
        <v>75</v>
      </c>
      <c r="E13" s="21"/>
      <c r="F13" s="21" t="n">
        <v>85000</v>
      </c>
      <c r="G13" s="22" t="n">
        <f aca="false">$K$2+SUM(E$2:E13)-SUM(F$2:F13)</f>
        <v>9070000</v>
      </c>
      <c r="H13" s="23" t="str">
        <f aca="false">IF(F13&gt;=$K$3,"Ya","Tidak")</f>
        <v>Tidak</v>
      </c>
    </row>
    <row r="14" customFormat="false" ht="15" hidden="false" customHeight="false" outlineLevel="0" collapsed="false">
      <c r="A14" s="18" t="n">
        <v>13</v>
      </c>
      <c r="B14" s="19" t="n">
        <v>46308</v>
      </c>
      <c r="C14" s="20" t="s">
        <v>88</v>
      </c>
      <c r="D14" s="20" t="s">
        <v>80</v>
      </c>
      <c r="E14" s="21"/>
      <c r="F14" s="21" t="n">
        <v>115000</v>
      </c>
      <c r="G14" s="22" t="n">
        <f aca="false">$K$2+SUM(E$2:E14)-SUM(F$2:F14)</f>
        <v>8955000</v>
      </c>
      <c r="H14" s="23" t="str">
        <f aca="false">IF(F14&gt;=$K$3,"Ya","Tidak")</f>
        <v>Tidak</v>
      </c>
    </row>
    <row r="15" customFormat="false" ht="15" hidden="false" customHeight="false" outlineLevel="0" collapsed="false">
      <c r="A15" s="18" t="n">
        <v>14</v>
      </c>
      <c r="B15" s="19" t="n">
        <v>46308</v>
      </c>
      <c r="C15" s="20" t="s">
        <v>87</v>
      </c>
      <c r="D15" s="20" t="s">
        <v>86</v>
      </c>
      <c r="E15" s="21"/>
      <c r="F15" s="21" t="n">
        <v>100000</v>
      </c>
      <c r="G15" s="22" t="n">
        <f aca="false">$K$2+SUM(E$2:E15)-SUM(F$2:F15)</f>
        <v>8855000</v>
      </c>
      <c r="H15" s="23" t="str">
        <f aca="false">IF(F15&gt;=$K$3,"Ya","Tidak")</f>
        <v>Tidak</v>
      </c>
    </row>
    <row r="16" customFormat="false" ht="15" hidden="false" customHeight="false" outlineLevel="0" collapsed="false">
      <c r="A16" s="18" t="n">
        <v>15</v>
      </c>
      <c r="B16" s="19" t="n">
        <v>46308</v>
      </c>
      <c r="C16" s="20" t="s">
        <v>89</v>
      </c>
      <c r="D16" s="20" t="s">
        <v>80</v>
      </c>
      <c r="E16" s="21"/>
      <c r="F16" s="21" t="n">
        <v>40000</v>
      </c>
      <c r="G16" s="22" t="n">
        <f aca="false">$K$2+SUM(E$2:E16)-SUM(F$2:F16)</f>
        <v>8815000</v>
      </c>
      <c r="H16" s="23" t="str">
        <f aca="false">IF(F16&gt;=$K$3,"Ya","Tidak")</f>
        <v>Tidak</v>
      </c>
    </row>
    <row r="17" customFormat="false" ht="15" hidden="false" customHeight="false" outlineLevel="0" collapsed="false">
      <c r="A17" s="18" t="n">
        <v>16</v>
      </c>
      <c r="B17" s="19" t="n">
        <v>46310</v>
      </c>
      <c r="C17" s="20" t="s">
        <v>90</v>
      </c>
      <c r="D17" s="20" t="s">
        <v>75</v>
      </c>
      <c r="E17" s="21"/>
      <c r="F17" s="21" t="n">
        <v>90000</v>
      </c>
      <c r="G17" s="22" t="n">
        <f aca="false">$K$2+SUM(E$2:E17)-SUM(F$2:F17)</f>
        <v>8725000</v>
      </c>
      <c r="H17" s="23" t="str">
        <f aca="false">IF(F17&gt;=$K$3,"Ya","Tidak")</f>
        <v>Tidak</v>
      </c>
    </row>
    <row r="18" customFormat="false" ht="15" hidden="false" customHeight="false" outlineLevel="0" collapsed="false">
      <c r="A18" s="18" t="n">
        <v>17</v>
      </c>
      <c r="B18" s="19" t="n">
        <v>46310</v>
      </c>
      <c r="C18" s="20" t="s">
        <v>85</v>
      </c>
      <c r="D18" s="20" t="s">
        <v>86</v>
      </c>
      <c r="E18" s="21"/>
      <c r="F18" s="21" t="n">
        <v>90000</v>
      </c>
      <c r="G18" s="22" t="n">
        <f aca="false">$K$2+SUM(E$2:E18)-SUM(F$2:F18)</f>
        <v>8635000</v>
      </c>
      <c r="H18" s="23" t="str">
        <f aca="false">IF(F18&gt;=$K$3,"Ya","Tidak")</f>
        <v>Tidak</v>
      </c>
    </row>
    <row r="19" customFormat="false" ht="15" hidden="false" customHeight="false" outlineLevel="0" collapsed="false">
      <c r="A19" s="18" t="n">
        <v>18</v>
      </c>
      <c r="B19" s="19" t="n">
        <v>46311</v>
      </c>
      <c r="C19" s="20" t="s">
        <v>81</v>
      </c>
      <c r="D19" s="20" t="s">
        <v>82</v>
      </c>
      <c r="E19" s="21"/>
      <c r="F19" s="21" t="n">
        <v>515000</v>
      </c>
      <c r="G19" s="22" t="n">
        <f aca="false">$K$2+SUM(E$2:E19)-SUM(F$2:F19)</f>
        <v>8120000</v>
      </c>
      <c r="H19" s="23" t="str">
        <f aca="false">IF(F19&gt;=$K$3,"Ya","Tidak")</f>
        <v>Ya</v>
      </c>
    </row>
    <row r="20" customFormat="false" ht="15" hidden="false" customHeight="false" outlineLevel="0" collapsed="false">
      <c r="A20" s="18" t="n">
        <v>19</v>
      </c>
      <c r="B20" s="19" t="n">
        <v>46312</v>
      </c>
      <c r="C20" s="20" t="s">
        <v>91</v>
      </c>
      <c r="D20" s="20" t="s">
        <v>86</v>
      </c>
      <c r="E20" s="21"/>
      <c r="F20" s="21" t="n">
        <v>150000</v>
      </c>
      <c r="G20" s="22" t="n">
        <f aca="false">$K$2+SUM(E$2:E20)-SUM(F$2:F20)</f>
        <v>7970000</v>
      </c>
      <c r="H20" s="23" t="str">
        <f aca="false">IF(F20&gt;=$K$3,"Ya","Tidak")</f>
        <v>Tidak</v>
      </c>
    </row>
    <row r="21" customFormat="false" ht="15" hidden="false" customHeight="false" outlineLevel="0" collapsed="false">
      <c r="A21" s="18" t="n">
        <v>20</v>
      </c>
      <c r="B21" s="19" t="n">
        <v>46313</v>
      </c>
      <c r="C21" s="20" t="s">
        <v>78</v>
      </c>
      <c r="D21" s="20" t="s">
        <v>75</v>
      </c>
      <c r="E21" s="21"/>
      <c r="F21" s="21" t="n">
        <v>265000</v>
      </c>
      <c r="G21" s="22" t="n">
        <f aca="false">$K$2+SUM(E$2:E21)-SUM(F$2:F21)</f>
        <v>7705000</v>
      </c>
      <c r="H21" s="23" t="str">
        <f aca="false">IF(F21&gt;=$K$3,"Ya","Tidak")</f>
        <v>Ya</v>
      </c>
    </row>
    <row r="22" customFormat="false" ht="15" hidden="false" customHeight="false" outlineLevel="0" collapsed="false">
      <c r="A22" s="18" t="n">
        <v>21</v>
      </c>
      <c r="B22" s="19" t="n">
        <v>46313</v>
      </c>
      <c r="C22" s="20" t="s">
        <v>92</v>
      </c>
      <c r="D22" s="20" t="s">
        <v>82</v>
      </c>
      <c r="E22" s="21"/>
      <c r="F22" s="21" t="n">
        <v>250000</v>
      </c>
      <c r="G22" s="22" t="n">
        <f aca="false">$K$2+SUM(E$2:E22)-SUM(F$2:F22)</f>
        <v>7455000</v>
      </c>
      <c r="H22" s="23" t="str">
        <f aca="false">IF(F22&gt;=$K$3,"Ya","Tidak")</f>
        <v>Ya</v>
      </c>
    </row>
    <row r="23" customFormat="false" ht="15" hidden="false" customHeight="false" outlineLevel="0" collapsed="false">
      <c r="A23" s="18" t="n">
        <v>22</v>
      </c>
      <c r="B23" s="19" t="n">
        <v>46313</v>
      </c>
      <c r="C23" s="20" t="s">
        <v>93</v>
      </c>
      <c r="D23" s="20" t="s">
        <v>84</v>
      </c>
      <c r="E23" s="21"/>
      <c r="F23" s="21" t="n">
        <v>110000</v>
      </c>
      <c r="G23" s="22" t="n">
        <f aca="false">$K$2+SUM(E$2:E23)-SUM(F$2:F23)</f>
        <v>7345000</v>
      </c>
      <c r="H23" s="23" t="str">
        <f aca="false">IF(F23&gt;=$K$3,"Ya","Tidak")</f>
        <v>Tidak</v>
      </c>
    </row>
    <row r="24" customFormat="false" ht="15" hidden="false" customHeight="false" outlineLevel="0" collapsed="false">
      <c r="A24" s="18" t="n">
        <v>23</v>
      </c>
      <c r="B24" s="19" t="n">
        <v>46313</v>
      </c>
      <c r="C24" s="20" t="s">
        <v>88</v>
      </c>
      <c r="D24" s="20" t="s">
        <v>80</v>
      </c>
      <c r="E24" s="21"/>
      <c r="F24" s="21" t="n">
        <v>120000</v>
      </c>
      <c r="G24" s="22" t="n">
        <f aca="false">$K$2+SUM(E$2:E24)-SUM(F$2:F24)</f>
        <v>7225000</v>
      </c>
      <c r="H24" s="23" t="str">
        <f aca="false">IF(F24&gt;=$K$3,"Ya","Tidak")</f>
        <v>Tidak</v>
      </c>
    </row>
    <row r="25" customFormat="false" ht="15" hidden="false" customHeight="false" outlineLevel="0" collapsed="false">
      <c r="A25" s="18" t="n">
        <v>24</v>
      </c>
      <c r="B25" s="19" t="n">
        <v>46314</v>
      </c>
      <c r="C25" s="20" t="s">
        <v>87</v>
      </c>
      <c r="D25" s="20" t="s">
        <v>86</v>
      </c>
      <c r="E25" s="21"/>
      <c r="F25" s="21" t="n">
        <v>75000</v>
      </c>
      <c r="G25" s="22" t="n">
        <f aca="false">$K$2+SUM(E$2:E25)-SUM(F$2:F25)</f>
        <v>7150000</v>
      </c>
      <c r="H25" s="23" t="str">
        <f aca="false">IF(F25&gt;=$K$3,"Ya","Tidak")</f>
        <v>Tidak</v>
      </c>
    </row>
    <row r="26" customFormat="false" ht="15" hidden="false" customHeight="false" outlineLevel="0" collapsed="false">
      <c r="A26" s="18" t="n">
        <v>25</v>
      </c>
      <c r="B26" s="19" t="n">
        <v>46315</v>
      </c>
      <c r="C26" s="20" t="s">
        <v>79</v>
      </c>
      <c r="D26" s="20" t="s">
        <v>80</v>
      </c>
      <c r="E26" s="21"/>
      <c r="F26" s="21" t="n">
        <v>35000</v>
      </c>
      <c r="G26" s="22" t="n">
        <f aca="false">$K$2+SUM(E$2:E26)-SUM(F$2:F26)</f>
        <v>7115000</v>
      </c>
      <c r="H26" s="23" t="str">
        <f aca="false">IF(F26&gt;=$K$3,"Ya","Tidak")</f>
        <v>Tidak</v>
      </c>
    </row>
    <row r="27" customFormat="false" ht="15" hidden="false" customHeight="false" outlineLevel="0" collapsed="false">
      <c r="A27" s="18" t="n">
        <v>26</v>
      </c>
      <c r="B27" s="19" t="n">
        <v>46316</v>
      </c>
      <c r="C27" s="20" t="s">
        <v>90</v>
      </c>
      <c r="D27" s="20" t="s">
        <v>75</v>
      </c>
      <c r="E27" s="21"/>
      <c r="F27" s="21" t="n">
        <v>75000</v>
      </c>
      <c r="G27" s="22" t="n">
        <f aca="false">$K$2+SUM(E$2:E27)-SUM(F$2:F27)</f>
        <v>7040000</v>
      </c>
      <c r="H27" s="23" t="str">
        <f aca="false">IF(F27&gt;=$K$3,"Ya","Tidak")</f>
        <v>Tidak</v>
      </c>
    </row>
    <row r="28" customFormat="false" ht="15" hidden="false" customHeight="false" outlineLevel="0" collapsed="false">
      <c r="A28" s="18" t="n">
        <v>27</v>
      </c>
      <c r="B28" s="19" t="n">
        <v>46317</v>
      </c>
      <c r="C28" s="20" t="s">
        <v>72</v>
      </c>
      <c r="D28" s="20" t="s">
        <v>66</v>
      </c>
      <c r="E28" s="21" t="n">
        <v>2000000</v>
      </c>
      <c r="F28" s="21"/>
      <c r="G28" s="22" t="n">
        <f aca="false">$K$2+SUM(E$2:E28)-SUM(F$2:F28)</f>
        <v>9040000</v>
      </c>
      <c r="H28" s="23" t="str">
        <f aca="false">IF(F28&gt;=$K$3,"Ya","Tidak")</f>
        <v>Tidak</v>
      </c>
    </row>
    <row r="29" customFormat="false" ht="15" hidden="false" customHeight="false" outlineLevel="0" collapsed="false">
      <c r="A29" s="18" t="n">
        <v>28</v>
      </c>
      <c r="B29" s="19" t="n">
        <v>46317</v>
      </c>
      <c r="C29" s="20" t="s">
        <v>89</v>
      </c>
      <c r="D29" s="20" t="s">
        <v>80</v>
      </c>
      <c r="E29" s="21"/>
      <c r="F29" s="21" t="n">
        <v>45000</v>
      </c>
      <c r="G29" s="22" t="n">
        <f aca="false">$K$2+SUM(E$2:E29)-SUM(F$2:F29)</f>
        <v>8995000</v>
      </c>
      <c r="H29" s="23" t="str">
        <f aca="false">IF(F29&gt;=$K$3,"Ya","Tidak")</f>
        <v>Tidak</v>
      </c>
    </row>
    <row r="30" customFormat="false" ht="15" hidden="false" customHeight="false" outlineLevel="0" collapsed="false">
      <c r="A30" s="18" t="n">
        <v>29</v>
      </c>
      <c r="B30" s="19" t="n">
        <v>46317</v>
      </c>
      <c r="C30" s="20" t="s">
        <v>91</v>
      </c>
      <c r="D30" s="20" t="s">
        <v>86</v>
      </c>
      <c r="E30" s="21"/>
      <c r="F30" s="21" t="n">
        <v>395000</v>
      </c>
      <c r="G30" s="22" t="n">
        <f aca="false">$K$2+SUM(E$2:E30)-SUM(F$2:F30)</f>
        <v>8600000</v>
      </c>
      <c r="H30" s="23" t="str">
        <f aca="false">IF(F30&gt;=$K$3,"Ya","Tidak")</f>
        <v>Ya</v>
      </c>
    </row>
    <row r="31" customFormat="false" ht="15" hidden="false" customHeight="false" outlineLevel="0" collapsed="false">
      <c r="A31" s="18" t="n">
        <v>30</v>
      </c>
      <c r="B31" s="19" t="n">
        <v>46319</v>
      </c>
      <c r="C31" s="20" t="s">
        <v>74</v>
      </c>
      <c r="D31" s="20" t="s">
        <v>75</v>
      </c>
      <c r="E31" s="21"/>
      <c r="F31" s="21" t="n">
        <v>60000</v>
      </c>
      <c r="G31" s="22" t="n">
        <f aca="false">$K$2+SUM(E$2:E31)-SUM(F$2:F31)</f>
        <v>8540000</v>
      </c>
      <c r="H31" s="23" t="str">
        <f aca="false">IF(F31&gt;=$K$3,"Ya","Tidak")</f>
        <v>Tidak</v>
      </c>
    </row>
    <row r="32" customFormat="false" ht="15" hidden="false" customHeight="false" outlineLevel="0" collapsed="false">
      <c r="A32" s="18" t="n">
        <v>31</v>
      </c>
      <c r="B32" s="19" t="n">
        <v>46320</v>
      </c>
      <c r="C32" s="20" t="s">
        <v>91</v>
      </c>
      <c r="D32" s="20" t="s">
        <v>86</v>
      </c>
      <c r="E32" s="21"/>
      <c r="F32" s="21" t="n">
        <v>195000</v>
      </c>
      <c r="G32" s="22" t="n">
        <f aca="false">$K$2+SUM(E$2:E32)-SUM(F$2:F32)</f>
        <v>8345000</v>
      </c>
      <c r="H32" s="23" t="str">
        <f aca="false">IF(F32&gt;=$K$3,"Ya","Tidak")</f>
        <v>Tidak</v>
      </c>
    </row>
    <row r="33" customFormat="false" ht="15" hidden="false" customHeight="false" outlineLevel="0" collapsed="false">
      <c r="A33" s="18" t="n">
        <v>32</v>
      </c>
      <c r="B33" s="19" t="n">
        <v>46320</v>
      </c>
      <c r="C33" s="20" t="s">
        <v>81</v>
      </c>
      <c r="D33" s="20" t="s">
        <v>82</v>
      </c>
      <c r="E33" s="21"/>
      <c r="F33" s="21" t="n">
        <v>500000</v>
      </c>
      <c r="G33" s="22" t="n">
        <f aca="false">$K$2+SUM(E$2:E33)-SUM(F$2:F33)</f>
        <v>7845000</v>
      </c>
      <c r="H33" s="23" t="str">
        <f aca="false">IF(F33&gt;=$K$3,"Ya","Tidak")</f>
        <v>Ya</v>
      </c>
    </row>
    <row r="34" customFormat="false" ht="15" hidden="false" customHeight="false" outlineLevel="0" collapsed="false">
      <c r="A34" s="18" t="n">
        <v>33</v>
      </c>
      <c r="B34" s="19" t="n">
        <v>46321</v>
      </c>
      <c r="C34" s="20" t="s">
        <v>91</v>
      </c>
      <c r="D34" s="20" t="s">
        <v>86</v>
      </c>
      <c r="E34" s="21"/>
      <c r="F34" s="21" t="n">
        <v>300000</v>
      </c>
      <c r="G34" s="22" t="n">
        <f aca="false">$K$2+SUM(E$2:E34)-SUM(F$2:F34)</f>
        <v>7545000</v>
      </c>
      <c r="H34" s="23" t="str">
        <f aca="false">IF(F34&gt;=$K$3,"Ya","Tidak")</f>
        <v>Ya</v>
      </c>
    </row>
    <row r="35" customFormat="false" ht="15" hidden="false" customHeight="false" outlineLevel="0" collapsed="false">
      <c r="A35" s="18" t="n">
        <v>34</v>
      </c>
      <c r="B35" s="19" t="n">
        <v>46322</v>
      </c>
      <c r="C35" s="20" t="s">
        <v>85</v>
      </c>
      <c r="D35" s="20" t="s">
        <v>86</v>
      </c>
      <c r="E35" s="21"/>
      <c r="F35" s="21" t="n">
        <v>55000</v>
      </c>
      <c r="G35" s="22" t="n">
        <f aca="false">$K$2+SUM(E$2:E35)-SUM(F$2:F35)</f>
        <v>7490000</v>
      </c>
      <c r="H35" s="23" t="str">
        <f aca="false">IF(F35&gt;=$K$3,"Ya","Tidak")</f>
        <v>Tidak</v>
      </c>
    </row>
    <row r="36" customFormat="false" ht="15" hidden="false" customHeight="false" outlineLevel="0" collapsed="false">
      <c r="A36" s="18" t="n">
        <v>35</v>
      </c>
      <c r="B36" s="19" t="n">
        <v>46322</v>
      </c>
      <c r="C36" s="20" t="s">
        <v>85</v>
      </c>
      <c r="D36" s="20" t="s">
        <v>86</v>
      </c>
      <c r="E36" s="21"/>
      <c r="F36" s="21" t="n">
        <v>75000</v>
      </c>
      <c r="G36" s="22" t="n">
        <f aca="false">$K$2+SUM(E$2:E36)-SUM(F$2:F36)</f>
        <v>7415000</v>
      </c>
      <c r="H36" s="23" t="str">
        <f aca="false">IF(F36&gt;=$K$3,"Ya","Tidak")</f>
        <v>Tidak</v>
      </c>
    </row>
    <row r="37" customFormat="false" ht="15" hidden="false" customHeight="false" outlineLevel="0" collapsed="false">
      <c r="A37" s="18" t="n">
        <v>36</v>
      </c>
      <c r="B37" s="19" t="n">
        <v>46323</v>
      </c>
      <c r="C37" s="20" t="s">
        <v>89</v>
      </c>
      <c r="D37" s="20" t="s">
        <v>80</v>
      </c>
      <c r="E37" s="21"/>
      <c r="F37" s="21" t="n">
        <v>25000</v>
      </c>
      <c r="G37" s="22" t="n">
        <f aca="false">$K$2+SUM(E$2:E37)-SUM(F$2:F37)</f>
        <v>7390000</v>
      </c>
      <c r="H37" s="23" t="str">
        <f aca="false">IF(F37&gt;=$K$3,"Ya","Tidak")</f>
        <v>Tidak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33.75" hidden="false" customHeight="true" outlineLevel="0" collapsed="false">
      <c r="A1" s="12" t="s">
        <v>94</v>
      </c>
      <c r="B1" s="16" t="s">
        <v>95</v>
      </c>
      <c r="C1" s="16" t="s">
        <v>96</v>
      </c>
    </row>
    <row r="2" customFormat="false" ht="15" hidden="false" customHeight="false" outlineLevel="0" collapsed="false">
      <c r="A2" s="20" t="s">
        <v>80</v>
      </c>
      <c r="B2" s="22" t="n">
        <f aca="false">SUMIF(Data!$D$2:$D$37,A2,Data!$F$2:$F$37)</f>
        <v>435000</v>
      </c>
      <c r="C2" s="27" t="n">
        <f aca="false">B2/SUM($B$2:$B$6)</f>
        <v>0.0851272015655577</v>
      </c>
    </row>
    <row r="3" customFormat="false" ht="15" hidden="false" customHeight="false" outlineLevel="0" collapsed="false">
      <c r="A3" s="20" t="s">
        <v>75</v>
      </c>
      <c r="B3" s="22" t="n">
        <f aca="false">SUMIF(Data!$D$2:$D$37,A3,Data!$F$2:$F$37)</f>
        <v>900000</v>
      </c>
      <c r="C3" s="27" t="n">
        <f aca="false">B3/SUM($B$2:$B$6)</f>
        <v>0.176125244618395</v>
      </c>
    </row>
    <row r="4" customFormat="false" ht="15" hidden="false" customHeight="false" outlineLevel="0" collapsed="false">
      <c r="A4" s="20" t="s">
        <v>86</v>
      </c>
      <c r="B4" s="22" t="n">
        <f aca="false">SUMIF(Data!$D$2:$D$37,A4,Data!$F$2:$F$37)</f>
        <v>1545000</v>
      </c>
      <c r="C4" s="27" t="n">
        <f aca="false">B4/SUM($B$2:$B$6)</f>
        <v>0.302348336594912</v>
      </c>
    </row>
    <row r="5" customFormat="false" ht="15" hidden="false" customHeight="false" outlineLevel="0" collapsed="false">
      <c r="A5" s="20" t="s">
        <v>84</v>
      </c>
      <c r="B5" s="22" t="n">
        <f aca="false">SUMIF(Data!$D$2:$D$37,A5,Data!$F$2:$F$37)</f>
        <v>370000</v>
      </c>
      <c r="C5" s="27" t="n">
        <f aca="false">B5/SUM($B$2:$B$6)</f>
        <v>0.0724070450097847</v>
      </c>
    </row>
    <row r="6" customFormat="false" ht="15" hidden="false" customHeight="false" outlineLevel="0" collapsed="false">
      <c r="A6" s="20" t="s">
        <v>82</v>
      </c>
      <c r="B6" s="22" t="n">
        <f aca="false">SUMIF(Data!$D$2:$D$37,A6,Data!$F$2:$F$37)</f>
        <v>1860000</v>
      </c>
      <c r="C6" s="27" t="n">
        <f aca="false">B6/SUM($B$2:$B$6)</f>
        <v>0.36399217221135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97</v>
      </c>
      <c r="B1" s="28"/>
      <c r="C1" s="28"/>
      <c r="D1" s="28"/>
    </row>
    <row r="2" customFormat="false" ht="15" hidden="false" customHeight="false" outlineLevel="0" collapsed="false">
      <c r="A2" s="29" t="s">
        <v>98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99</v>
      </c>
      <c r="C3" s="12" t="s">
        <v>100</v>
      </c>
      <c r="D3" s="12" t="s">
        <v>101</v>
      </c>
    </row>
    <row r="4" customFormat="false" ht="19.5" hidden="false" customHeight="true" outlineLevel="0" collapsed="false">
      <c r="A4" s="30" t="s">
        <v>31</v>
      </c>
      <c r="B4" s="31" t="s">
        <v>102</v>
      </c>
      <c r="C4" s="22" t="n">
        <f aca="false">SUM(Data!$E$2:$E$37)</f>
        <v>7500000</v>
      </c>
      <c r="D4" s="26" t="s">
        <v>103</v>
      </c>
    </row>
    <row r="5" customFormat="false" ht="19.5" hidden="false" customHeight="true" outlineLevel="0" collapsed="false">
      <c r="A5" s="30" t="s">
        <v>35</v>
      </c>
      <c r="B5" s="31" t="s">
        <v>104</v>
      </c>
      <c r="C5" s="22" t="n">
        <f aca="false">SUM(Data!$F$2:$F$37)</f>
        <v>5110000</v>
      </c>
      <c r="D5" s="26" t="s">
        <v>105</v>
      </c>
    </row>
    <row r="6" customFormat="false" ht="19.5" hidden="false" customHeight="true" outlineLevel="0" collapsed="false">
      <c r="A6" s="30" t="s">
        <v>39</v>
      </c>
      <c r="B6" s="31" t="s">
        <v>106</v>
      </c>
      <c r="C6" s="22" t="n">
        <f aca="false">Data!$K$2+SUM(Data!$E$2:$E$37)-SUM(Data!$F$2:$F$37)</f>
        <v>7390000</v>
      </c>
      <c r="D6" s="26" t="s">
        <v>107</v>
      </c>
    </row>
    <row r="7" customFormat="false" ht="19.5" hidden="false" customHeight="true" outlineLevel="0" collapsed="false">
      <c r="A7" s="30" t="s">
        <v>51</v>
      </c>
      <c r="B7" s="31" t="s">
        <v>108</v>
      </c>
      <c r="C7" s="23" t="str">
        <f aca="false">INDEX(Acuan!$A$2:$A$6,MATCH(MAX(Acuan!$B$2:$B$6),Acuan!$B$2:$B$6,0))</f>
        <v>Lain-lain</v>
      </c>
      <c r="D7" s="26" t="s">
        <v>109</v>
      </c>
    </row>
    <row r="8" customFormat="false" ht="19.5" hidden="false" customHeight="true" outlineLevel="0" collapsed="false">
      <c r="A8" s="30" t="s">
        <v>55</v>
      </c>
      <c r="B8" s="31" t="s">
        <v>110</v>
      </c>
      <c r="C8" s="32" t="n">
        <f aca="false">COUNTIF(Data!$H$2:$H$37,"Ya")</f>
        <v>8</v>
      </c>
      <c r="D8" s="26" t="s">
        <v>111</v>
      </c>
    </row>
    <row r="9" customFormat="false" ht="19.5" hidden="false" customHeight="true" outlineLevel="0" collapsed="false">
      <c r="A9" s="30" t="s">
        <v>59</v>
      </c>
      <c r="B9" s="31" t="s">
        <v>112</v>
      </c>
      <c r="C9" s="33" t="n">
        <f aca="false">INDEX(Data!$B$2:$B$37,MATCH(MAX(Data!$F$2:$F$37),Data!$F$2:$F$37,0))</f>
        <v>46302</v>
      </c>
      <c r="D9" s="26" t="s">
        <v>113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Buku Kas Kecil Bulanan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