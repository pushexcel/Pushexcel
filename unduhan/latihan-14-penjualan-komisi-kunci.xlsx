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<sst xmlns="http://schemas.openxmlformats.org/spreadsheetml/2006/main" count="247" uniqueCount="154">
  <si>
    <t xml:space="preserve">Kunci Jawaban: Penjualan dan Komisi Tim Sales</t>
  </si>
  <si>
    <t xml:space="preserve">Latihan 14 dari 24  |  Tingkat: Lanjutan  |  Perkiraan waktu: 60 menit  |  pushexcel.github.io/Pushexcel</t>
  </si>
  <si>
    <t xml:space="preserve">Skenario</t>
  </si>
  <si>
    <t xml:space="preserve">Kamu admin penjualan di PT Digital Perkasa. Selama Oktober 2026 tim sales (6 orang di 4 wilayah) mencatat 42 transaksi. Tiap sales punya target omzet bulanan (sheet Acuan). Komisi dihitung bertingkat dari pencapaian target: di bawah 80 persen tidak ada komisi, 80 persen ke atas 1 persen, 100 persen ke atas 2 persen, dan 120 persen ke atas 3 persen dari omzet.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</si>
  <si>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</si>
  <si>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</si>
  <si>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</si>
  <si>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</si>
  <si>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</si>
  <si>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</si>
  <si>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</si>
  <si>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</si>
  <si>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</si>
  <si>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</si>
  <si>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</si>
  <si>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</si>
  <si>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</si>
  <si>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</si>
  <si>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</si>
  <si>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</si>
  <si>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</si>
  <si>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</si>
  <si>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</si>
  <si>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</si>
  <si>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nilai transaksi: jumlah dikali harga satuan.</t>
  </si>
  <si>
    <t xml:space="preserve">Sheet Data, kolom G (Nilai Transaksi), baris 2 sampai 43</t>
  </si>
  <si>
    <t xml:space="preserve">=E2*F2</t>
  </si>
  <si>
    <t xml:space="preserve">2</t>
  </si>
  <si>
    <t xml:space="preserve">Tentukan minggu ke berapa dalam bulan (tanggal 1-7 = minggu 1, 8-14 = minggu 2, dan seterusnya).</t>
  </si>
  <si>
    <t xml:space="preserve">Sheet Data, kolom H (Minggu ke), baris 2 sampai 43</t>
  </si>
  <si>
    <t xml:space="preserve">=INT((DAY(B2)-1)/7)+1</t>
  </si>
  <si>
    <t xml:space="preserve">3</t>
  </si>
  <si>
    <t xml:space="preserve">Beri kategori Besar bila nilai transaksi sama dengan atau di atas batas transaksi Besar, selain itu Reguler.</t>
  </si>
  <si>
    <t xml:space="preserve">Sheet Data, kolom I (Kategori), baris 2 sampai 43</t>
  </si>
  <si>
    <t xml:space="preserve">=IF(G2&gt;=$M$8;"Besar";"Reguler")</t>
  </si>
  <si>
    <t xml:space="preserve">4</t>
  </si>
  <si>
    <t xml:space="preserve">Ambil wilayah tiap transaksi dari tabel sales di sheet Acuan.</t>
  </si>
  <si>
    <t xml:space="preserve">Sheet Data, kolom J (Wilayah), baris 2 sampai 43</t>
  </si>
  <si>
    <t xml:space="preserve">=VLOOKUP(C2;Acuan!$A$2:$C$7;2;FALSE)</t>
  </si>
  <si>
    <t xml:space="preserve">5</t>
  </si>
  <si>
    <t xml:space="preserve">Pada sheet Acuan, hitung omzet tiap sales dari seluruh transaksinya.</t>
  </si>
  <si>
    <t xml:space="preserve">Sheet Acuan, kolom D (Omzet), baris 2 sampai 7</t>
  </si>
  <si>
    <t xml:space="preserve">=SUMIF(Data!$C$2:$C$43;A2;Data!$G$2:$G$43)</t>
  </si>
  <si>
    <t xml:space="preserve">6</t>
  </si>
  <si>
    <t xml:space="preserve">Pada sheet Acuan, hitung jumlah transaksi tiap sales.</t>
  </si>
  <si>
    <t xml:space="preserve">Sheet Acuan, kolom E (Jumlah Transaksi), baris 2 sampai 7</t>
  </si>
  <si>
    <t xml:space="preserve">=COUNTIF(Data!$C$2:$C$43;A2)</t>
  </si>
  <si>
    <t xml:space="preserve">7</t>
  </si>
  <si>
    <t xml:space="preserve">Pada sheet Acuan, hitung pencapaian target: omzet dibagi target omzet.</t>
  </si>
  <si>
    <t xml:space="preserve">Sheet Acuan, kolom F (Pencapaian Target), baris 2 sampai 7</t>
  </si>
  <si>
    <t xml:space="preserve">=D2/C2</t>
  </si>
  <si>
    <t xml:space="preserve">8</t>
  </si>
  <si>
    <t xml:space="preserve">Tentukan persen komisi: pencapaian di atas batas tingkat 3 mendapat komisi tingkat 3, lalu tingkat 2, lalu tingkat 1, selain itu 0.</t>
  </si>
  <si>
    <t xml:space="preserve">Sheet Acuan, kolom G (Persen Komisi), baris 2 sampai 7</t>
  </si>
  <si>
    <t xml:space="preserve">=IF(F2&gt;=Data!$M$4;Data!$M$7;IF(F2&gt;=Data!$M$3;Data!$M$6;IF(F2&gt;=Data!$M$2;Data!$M$5;0)))</t>
  </si>
  <si>
    <t xml:space="preserve">9</t>
  </si>
  <si>
    <t xml:space="preserve">Hitung komisi: omzet dikali persen komisi.</t>
  </si>
  <si>
    <t xml:space="preserve">Sheet Acuan, kolom H (Komisi), baris 2 sampai 7</t>
  </si>
  <si>
    <t xml:space="preserve">=ROUND(D2*G2;0)</t>
  </si>
  <si>
    <t xml:space="preserve">10</t>
  </si>
  <si>
    <t xml:space="preserve">Berapa total omzet seluruh sales?</t>
  </si>
  <si>
    <t xml:space="preserve">Sheet Ringkasan, sel C4</t>
  </si>
  <si>
    <t xml:space="preserve">=SUM(Data!$G$2:$G$43)</t>
  </si>
  <si>
    <t xml:space="preserve">11</t>
  </si>
  <si>
    <t xml:space="preserve">Berapa total komisi yang harus dibayarkan?</t>
  </si>
  <si>
    <t xml:space="preserve">Sheet Ringkasan, sel C5</t>
  </si>
  <si>
    <t xml:space="preserve">=SUM(Acuan!$H$2:$H$7)</t>
  </si>
  <si>
    <t xml:space="preserve">12</t>
  </si>
  <si>
    <t xml:space="preserve">Siapa sales dengan omzet terbesar?</t>
  </si>
  <si>
    <t xml:space="preserve">Sheet Ringkasan, sel C6</t>
  </si>
  <si>
    <t xml:space="preserve">=INDEX(Acuan!$A$2:$A$7;MATCH(MAX(Acuan!$D$2:$D$7);Acuan!$D$2:$D$7;0))</t>
  </si>
  <si>
    <t xml:space="preserve">13</t>
  </si>
  <si>
    <t xml:space="preserve">Berapa sales yang mencapai atau melampaui target (pencapaian 100 persen ke atas)?</t>
  </si>
  <si>
    <t xml:space="preserve">Sheet Ringkasan, sel C7</t>
  </si>
  <si>
    <t xml:space="preserve">=COUNTIF(Acuan!$F$2:$F$7;"&gt;=1")</t>
  </si>
  <si>
    <t xml:space="preserve">14</t>
  </si>
  <si>
    <t xml:space="preserve">Berapa total omzet tiap wilayah: Jakarta, Bandung, Surabaya, dan Semarang?</t>
  </si>
  <si>
    <t xml:space="preserve">Sheet Ringkasan, sel C8 sampai C11</t>
  </si>
  <si>
    <t xml:space="preserve">=SUMIF(Data!$J$2:$J$43;"Jakarta";Data!$G$2:$G$43)
=SUMIF(Data!$J$2:$J$43;"Bandung";Data!$G$2:$G$43)
=SUMIF(Data!$J$2:$J$43;"Surabaya";Data!$G$2:$G$43)
=SUMIF(Data!$J$2:$J$43;"Semarang";Data!$G$2:$G$43)</t>
  </si>
  <si>
    <t xml:space="preserve">15</t>
  </si>
  <si>
    <t xml:space="preserve">Berapa transaksi berkategori Besar, dan berapa rata-rata nilai transaksi seluruhnya?</t>
  </si>
  <si>
    <t xml:space="preserve">Sheet Ringkasan, sel C12 sampai C13</t>
  </si>
  <si>
    <t xml:space="preserve">=COUNTIF(Data!$I$2:$I$43;"Besar")
=AVERAGE(Data!$G$2:$G$43)</t>
  </si>
  <si>
    <t xml:space="preserve">Tanggal</t>
  </si>
  <si>
    <t xml:space="preserve">Sales</t>
  </si>
  <si>
    <t xml:space="preserve">Produk</t>
  </si>
  <si>
    <t xml:space="preserve">Jumlah</t>
  </si>
  <si>
    <t xml:space="preserve">Harga Satuan</t>
  </si>
  <si>
    <t xml:space="preserve">Nilai Transaksi</t>
  </si>
  <si>
    <t xml:space="preserve">Minggu ke</t>
  </si>
  <si>
    <t xml:space="preserve">Kategori</t>
  </si>
  <si>
    <t xml:space="preserve">Wilayah</t>
  </si>
  <si>
    <t xml:space="preserve">Parameter</t>
  </si>
  <si>
    <t xml:space="preserve">Nilai</t>
  </si>
  <si>
    <t xml:space="preserve">Keterangan</t>
  </si>
  <si>
    <t xml:space="preserve">Lia Wibowo</t>
  </si>
  <si>
    <t xml:space="preserve">Printer Multifungsi</t>
  </si>
  <si>
    <t xml:space="preserve">Batas pencapaian komisi tingkat 1</t>
  </si>
  <si>
    <t xml:space="preserve">Dimas Ramadhan</t>
  </si>
  <si>
    <t xml:space="preserve">Kursi Gaming</t>
  </si>
  <si>
    <t xml:space="preserve">Batas pencapaian komisi tingkat 2</t>
  </si>
  <si>
    <t xml:space="preserve">Rizki Handayani</t>
  </si>
  <si>
    <t xml:space="preserve">Monitor 22 Inci</t>
  </si>
  <si>
    <t xml:space="preserve">Batas pencapaian komisi tingkat 3</t>
  </si>
  <si>
    <t xml:space="preserve">Komisi tingkat 1</t>
  </si>
  <si>
    <t xml:space="preserve">Persen dari omzet</t>
  </si>
  <si>
    <t xml:space="preserve">Ayu Wibowo</t>
  </si>
  <si>
    <t xml:space="preserve">Komisi tingkat 2</t>
  </si>
  <si>
    <t xml:space="preserve">Komisi tingkat 3</t>
  </si>
  <si>
    <t xml:space="preserve">Router WiFi 6</t>
  </si>
  <si>
    <t xml:space="preserve">Batas transaksi Besar</t>
  </si>
  <si>
    <t xml:space="preserve">Nilai transaksi sama dengan atau di atas angka ini</t>
  </si>
  <si>
    <t xml:space="preserve">Laptop 14 Inci</t>
  </si>
  <si>
    <t xml:space="preserve">Fajar Hidayat</t>
  </si>
  <si>
    <t xml:space="preserve">Gunawan Susanto</t>
  </si>
  <si>
    <t xml:space="preserve">Headset</t>
  </si>
  <si>
    <t xml:space="preserve">Keyboard Mekanik</t>
  </si>
  <si>
    <t xml:space="preserve">Target Omzet</t>
  </si>
  <si>
    <t xml:space="preserve">Omzet</t>
  </si>
  <si>
    <t xml:space="preserve">Jumlah Transaksi</t>
  </si>
  <si>
    <t xml:space="preserve">Pencapaian Target</t>
  </si>
  <si>
    <t xml:space="preserve">Persen Komisi</t>
  </si>
  <si>
    <t xml:space="preserve">Komisi</t>
  </si>
  <si>
    <t xml:space="preserve">Jakarta</t>
  </si>
  <si>
    <t xml:space="preserve">Bandung</t>
  </si>
  <si>
    <t xml:space="preserve">Surabaya</t>
  </si>
  <si>
    <t xml:space="preserve">Semarang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</si>
  <si>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</si>
  <si>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</si>
  <si>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</si>
  <si>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</si>
  <si>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</si>
  <si>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omzet seluruh sales</t>
  </si>
  <si>
    <t xml:space="preserve">Rupiah, mis. Rp 480.000.000</t>
  </si>
  <si>
    <t xml:space="preserve">Total komisi yang dibayarkan</t>
  </si>
  <si>
    <t xml:space="preserve">Rupiah, mis. Rp 6.500.000</t>
  </si>
  <si>
    <t xml:space="preserve">Sales dengan omzet terbesar</t>
  </si>
  <si>
    <t xml:space="preserve">Teks: nama sales</t>
  </si>
  <si>
    <t xml:space="preserve">Jumlah sales yang mencapai target</t>
  </si>
  <si>
    <t xml:space="preserve">Angka bulat, mis. 3</t>
  </si>
  <si>
    <t xml:space="preserve">14a</t>
  </si>
  <si>
    <t xml:space="preserve">Total omzet wilayah Jakarta</t>
  </si>
  <si>
    <t xml:space="preserve">Rupiah, mis. Rp 110.000.000</t>
  </si>
  <si>
    <t xml:space="preserve">14b</t>
  </si>
  <si>
    <t xml:space="preserve">Total omzet wilayah Bandung</t>
  </si>
  <si>
    <t xml:space="preserve">14c</t>
  </si>
  <si>
    <t xml:space="preserve">Total omzet wilayah Surabaya</t>
  </si>
  <si>
    <t xml:space="preserve">14d</t>
  </si>
  <si>
    <t xml:space="preserve">Total omzet wilayah Semarang</t>
  </si>
  <si>
    <t xml:space="preserve">15a</t>
  </si>
  <si>
    <t xml:space="preserve">Jumlah transaksi berkategori Besar</t>
  </si>
  <si>
    <t xml:space="preserve">Rupiah, mis. Rp 11.000.000</t>
  </si>
  <si>
    <t xml:space="preserve">15b</t>
  </si>
  <si>
    <t xml:space="preserve">Rata-rata nilai transaksi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</si>
</sst>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d/mm/yyyy"/>
    <numFmt numFmtId="167" formatCode="&quot;Rp &quot;#,##0"/>
    <numFmt numFmtId="168" formatCode="0%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42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  <row r="34" customFormat="false" ht="97.5" hidden="false" customHeight="true" outlineLevel="0" collapsed="false">
      <c r="A34" s="13" t="s">
        <v>75</v>
      </c>
      <c r="B34" s="14" t="s">
        <v>76</v>
      </c>
      <c r="C34" s="14" t="s">
        <v>77</v>
      </c>
      <c r="D34" s="15" t="s">
        <v>78</v>
      </c>
    </row>
    <row r="35" customFormat="false" ht="30" hidden="false" customHeight="true" outlineLevel="0" collapsed="false">
      <c r="A35" s="13" t="s">
        <v>79</v>
      </c>
      <c r="B35" s="14" t="s">
        <v>80</v>
      </c>
      <c r="C35" s="14" t="s">
        <v>81</v>
      </c>
      <c r="D35" s="15" t="s">
        <v>82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42"/>
  </cols>
  <sheetData>
    <row r="1" customFormat="false" ht="33.75" hidden="false" customHeight="true" outlineLevel="0" collapsed="false">
      <c r="A1" s="12" t="s">
        <v>19</v>
      </c>
      <c r="B1" s="12" t="s">
        <v>83</v>
      </c>
      <c r="C1" s="12" t="s">
        <v>84</v>
      </c>
      <c r="D1" s="12" t="s">
        <v>85</v>
      </c>
      <c r="E1" s="12" t="s">
        <v>86</v>
      </c>
      <c r="F1" s="12" t="s">
        <v>87</v>
      </c>
      <c r="G1" s="16" t="s">
        <v>88</v>
      </c>
      <c r="H1" s="16" t="s">
        <v>89</v>
      </c>
      <c r="I1" s="16" t="s">
        <v>90</v>
      </c>
      <c r="J1" s="16" t="s">
        <v>91</v>
      </c>
      <c r="L1" s="17" t="s">
        <v>92</v>
      </c>
      <c r="M1" s="17" t="s">
        <v>93</v>
      </c>
      <c r="N1" s="17" t="s">
        <v>94</v>
      </c>
    </row>
    <row r="2" customFormat="false" ht="15" hidden="false" customHeight="false" outlineLevel="0" collapsed="false">
      <c r="A2" s="18" t="n">
        <v>1</v>
      </c>
      <c r="B2" s="19" t="n">
        <v>46298</v>
      </c>
      <c r="C2" s="20" t="s">
        <v>95</v>
      </c>
      <c r="D2" s="20" t="s">
        <v>96</v>
      </c>
      <c r="E2" s="18" t="n">
        <v>4</v>
      </c>
      <c r="F2" s="21" t="n">
        <v>2100000</v>
      </c>
      <c r="G2" s="22" t="n">
        <f aca="false">E2*F2</f>
        <v>8400000</v>
      </c>
      <c r="H2" s="23" t="n">
        <f aca="false">INT((DAY(B2)-1)/7)+1</f>
        <v>1</v>
      </c>
      <c r="I2" s="24" t="str">
        <f aca="false">IF(G2&gt;=$M$8,"Besar","Reguler")</f>
        <v>Reguler</v>
      </c>
      <c r="J2" s="24" t="str">
        <f aca="false">VLOOKUP(C2,Acuan!$A$2:$C$7,2,FALSE())</f>
        <v>Semarang</v>
      </c>
      <c r="L2" s="25" t="s">
        <v>97</v>
      </c>
      <c r="M2" s="26" t="n">
        <v>0.8</v>
      </c>
      <c r="N2" s="27"/>
    </row>
    <row r="3" customFormat="false" ht="15" hidden="false" customHeight="false" outlineLevel="0" collapsed="false">
      <c r="A3" s="18" t="n">
        <v>2</v>
      </c>
      <c r="B3" s="19" t="n">
        <v>46299</v>
      </c>
      <c r="C3" s="20" t="s">
        <v>98</v>
      </c>
      <c r="D3" s="20" t="s">
        <v>99</v>
      </c>
      <c r="E3" s="18" t="n">
        <v>4</v>
      </c>
      <c r="F3" s="21" t="n">
        <v>1450000</v>
      </c>
      <c r="G3" s="22" t="n">
        <f aca="false">E3*F3</f>
        <v>5800000</v>
      </c>
      <c r="H3" s="23" t="n">
        <f aca="false">INT((DAY(B3)-1)/7)+1</f>
        <v>1</v>
      </c>
      <c r="I3" s="24" t="str">
        <f aca="false">IF(G3&gt;=$M$8,"Besar","Reguler")</f>
        <v>Reguler</v>
      </c>
      <c r="J3" s="24" t="str">
        <f aca="false">VLOOKUP(C3,Acuan!$A$2:$C$7,2,FALSE())</f>
        <v>Jakarta</v>
      </c>
      <c r="L3" s="25" t="s">
        <v>100</v>
      </c>
      <c r="M3" s="26" t="n">
        <v>1</v>
      </c>
      <c r="N3" s="27"/>
    </row>
    <row r="4" customFormat="false" ht="15" hidden="false" customHeight="false" outlineLevel="0" collapsed="false">
      <c r="A4" s="18" t="n">
        <v>3</v>
      </c>
      <c r="B4" s="19" t="n">
        <v>46300</v>
      </c>
      <c r="C4" s="20" t="s">
        <v>101</v>
      </c>
      <c r="D4" s="20" t="s">
        <v>102</v>
      </c>
      <c r="E4" s="18" t="n">
        <v>2</v>
      </c>
      <c r="F4" s="21" t="n">
        <v>1850000</v>
      </c>
      <c r="G4" s="22" t="n">
        <f aca="false">E4*F4</f>
        <v>3700000</v>
      </c>
      <c r="H4" s="23" t="n">
        <f aca="false">INT((DAY(B4)-1)/7)+1</f>
        <v>1</v>
      </c>
      <c r="I4" s="24" t="str">
        <f aca="false">IF(G4&gt;=$M$8,"Besar","Reguler")</f>
        <v>Reguler</v>
      </c>
      <c r="J4" s="24" t="str">
        <f aca="false">VLOOKUP(C4,Acuan!$A$2:$C$7,2,FALSE())</f>
        <v>Surabaya</v>
      </c>
      <c r="L4" s="25" t="s">
        <v>103</v>
      </c>
      <c r="M4" s="26" t="n">
        <v>1.2</v>
      </c>
      <c r="N4" s="27"/>
    </row>
    <row r="5" customFormat="false" ht="15" hidden="false" customHeight="false" outlineLevel="0" collapsed="false">
      <c r="A5" s="18" t="n">
        <v>4</v>
      </c>
      <c r="B5" s="19" t="n">
        <v>46300</v>
      </c>
      <c r="C5" s="20" t="s">
        <v>98</v>
      </c>
      <c r="D5" s="20" t="s">
        <v>96</v>
      </c>
      <c r="E5" s="18" t="n">
        <v>1</v>
      </c>
      <c r="F5" s="21" t="n">
        <v>2100000</v>
      </c>
      <c r="G5" s="22" t="n">
        <f aca="false">E5*F5</f>
        <v>2100000</v>
      </c>
      <c r="H5" s="23" t="n">
        <f aca="false">INT((DAY(B5)-1)/7)+1</f>
        <v>1</v>
      </c>
      <c r="I5" s="24" t="str">
        <f aca="false">IF(G5&gt;=$M$8,"Besar","Reguler")</f>
        <v>Reguler</v>
      </c>
      <c r="J5" s="24" t="str">
        <f aca="false">VLOOKUP(C5,Acuan!$A$2:$C$7,2,FALSE())</f>
        <v>Jakarta</v>
      </c>
      <c r="L5" s="25" t="s">
        <v>104</v>
      </c>
      <c r="M5" s="26" t="n">
        <v>0.01</v>
      </c>
      <c r="N5" s="27" t="s">
        <v>105</v>
      </c>
    </row>
    <row r="6" customFormat="false" ht="15" hidden="false" customHeight="false" outlineLevel="0" collapsed="false">
      <c r="A6" s="18" t="n">
        <v>5</v>
      </c>
      <c r="B6" s="19" t="n">
        <v>46301</v>
      </c>
      <c r="C6" s="20" t="s">
        <v>106</v>
      </c>
      <c r="D6" s="20" t="s">
        <v>96</v>
      </c>
      <c r="E6" s="18" t="n">
        <v>5</v>
      </c>
      <c r="F6" s="21" t="n">
        <v>2100000</v>
      </c>
      <c r="G6" s="22" t="n">
        <f aca="false">E6*F6</f>
        <v>10500000</v>
      </c>
      <c r="H6" s="23" t="n">
        <f aca="false">INT((DAY(B6)-1)/7)+1</f>
        <v>1</v>
      </c>
      <c r="I6" s="24" t="str">
        <f aca="false">IF(G6&gt;=$M$8,"Besar","Reguler")</f>
        <v>Reguler</v>
      </c>
      <c r="J6" s="24" t="str">
        <f aca="false">VLOOKUP(C6,Acuan!$A$2:$C$7,2,FALSE())</f>
        <v>Jakarta</v>
      </c>
      <c r="L6" s="25" t="s">
        <v>107</v>
      </c>
      <c r="M6" s="26" t="n">
        <v>0.02</v>
      </c>
      <c r="N6" s="27" t="s">
        <v>105</v>
      </c>
    </row>
    <row r="7" customFormat="false" ht="15" hidden="false" customHeight="false" outlineLevel="0" collapsed="false">
      <c r="A7" s="18" t="n">
        <v>6</v>
      </c>
      <c r="B7" s="19" t="n">
        <v>46301</v>
      </c>
      <c r="C7" s="20" t="s">
        <v>106</v>
      </c>
      <c r="D7" s="20" t="s">
        <v>99</v>
      </c>
      <c r="E7" s="18" t="n">
        <v>6</v>
      </c>
      <c r="F7" s="21" t="n">
        <v>1450000</v>
      </c>
      <c r="G7" s="22" t="n">
        <f aca="false">E7*F7</f>
        <v>8700000</v>
      </c>
      <c r="H7" s="23" t="n">
        <f aca="false">INT((DAY(B7)-1)/7)+1</f>
        <v>1</v>
      </c>
      <c r="I7" s="24" t="str">
        <f aca="false">IF(G7&gt;=$M$8,"Besar","Reguler")</f>
        <v>Reguler</v>
      </c>
      <c r="J7" s="24" t="str">
        <f aca="false">VLOOKUP(C7,Acuan!$A$2:$C$7,2,FALSE())</f>
        <v>Jakarta</v>
      </c>
      <c r="L7" s="25" t="s">
        <v>108</v>
      </c>
      <c r="M7" s="26" t="n">
        <v>0.03</v>
      </c>
      <c r="N7" s="27" t="s">
        <v>105</v>
      </c>
    </row>
    <row r="8" customFormat="false" ht="15" hidden="false" customHeight="false" outlineLevel="0" collapsed="false">
      <c r="A8" s="18" t="n">
        <v>7</v>
      </c>
      <c r="B8" s="19" t="n">
        <v>46302</v>
      </c>
      <c r="C8" s="20" t="s">
        <v>101</v>
      </c>
      <c r="D8" s="20" t="s">
        <v>109</v>
      </c>
      <c r="E8" s="18" t="n">
        <v>6</v>
      </c>
      <c r="F8" s="21" t="n">
        <v>750000</v>
      </c>
      <c r="G8" s="22" t="n">
        <f aca="false">E8*F8</f>
        <v>4500000</v>
      </c>
      <c r="H8" s="23" t="n">
        <f aca="false">INT((DAY(B8)-1)/7)+1</f>
        <v>1</v>
      </c>
      <c r="I8" s="24" t="str">
        <f aca="false">IF(G8&gt;=$M$8,"Besar","Reguler")</f>
        <v>Reguler</v>
      </c>
      <c r="J8" s="24" t="str">
        <f aca="false">VLOOKUP(C8,Acuan!$A$2:$C$7,2,FALSE())</f>
        <v>Surabaya</v>
      </c>
      <c r="L8" s="25" t="s">
        <v>110</v>
      </c>
      <c r="M8" s="28" t="n">
        <v>15000000</v>
      </c>
      <c r="N8" s="27" t="s">
        <v>111</v>
      </c>
    </row>
    <row r="9" customFormat="false" ht="15" hidden="false" customHeight="false" outlineLevel="0" collapsed="false">
      <c r="A9" s="18" t="n">
        <v>8</v>
      </c>
      <c r="B9" s="19" t="n">
        <v>46302</v>
      </c>
      <c r="C9" s="20" t="s">
        <v>106</v>
      </c>
      <c r="D9" s="20" t="s">
        <v>112</v>
      </c>
      <c r="E9" s="18" t="n">
        <v>4</v>
      </c>
      <c r="F9" s="21" t="n">
        <v>8500000</v>
      </c>
      <c r="G9" s="22" t="n">
        <f aca="false">E9*F9</f>
        <v>34000000</v>
      </c>
      <c r="H9" s="23" t="n">
        <f aca="false">INT((DAY(B9)-1)/7)+1</f>
        <v>1</v>
      </c>
      <c r="I9" s="24" t="str">
        <f aca="false">IF(G9&gt;=$M$8,"Besar","Reguler")</f>
        <v>Besar</v>
      </c>
      <c r="J9" s="24" t="str">
        <f aca="false">VLOOKUP(C9,Acuan!$A$2:$C$7,2,FALSE())</f>
        <v>Jakarta</v>
      </c>
    </row>
    <row r="10" customFormat="false" ht="15" hidden="false" customHeight="false" outlineLevel="0" collapsed="false">
      <c r="A10" s="18" t="n">
        <v>9</v>
      </c>
      <c r="B10" s="19" t="n">
        <v>46302</v>
      </c>
      <c r="C10" s="20" t="s">
        <v>95</v>
      </c>
      <c r="D10" s="20" t="s">
        <v>112</v>
      </c>
      <c r="E10" s="18" t="n">
        <v>2</v>
      </c>
      <c r="F10" s="21" t="n">
        <v>8500000</v>
      </c>
      <c r="G10" s="22" t="n">
        <f aca="false">E10*F10</f>
        <v>17000000</v>
      </c>
      <c r="H10" s="23" t="n">
        <f aca="false">INT((DAY(B10)-1)/7)+1</f>
        <v>1</v>
      </c>
      <c r="I10" s="24" t="str">
        <f aca="false">IF(G10&gt;=$M$8,"Besar","Reguler")</f>
        <v>Besar</v>
      </c>
      <c r="J10" s="24" t="str">
        <f aca="false">VLOOKUP(C10,Acuan!$A$2:$C$7,2,FALSE())</f>
        <v>Semarang</v>
      </c>
    </row>
    <row r="11" customFormat="false" ht="15" hidden="false" customHeight="false" outlineLevel="0" collapsed="false">
      <c r="A11" s="18" t="n">
        <v>10</v>
      </c>
      <c r="B11" s="19" t="n">
        <v>46304</v>
      </c>
      <c r="C11" s="20" t="s">
        <v>113</v>
      </c>
      <c r="D11" s="20" t="s">
        <v>102</v>
      </c>
      <c r="E11" s="18" t="n">
        <v>2</v>
      </c>
      <c r="F11" s="21" t="n">
        <v>1850000</v>
      </c>
      <c r="G11" s="22" t="n">
        <f aca="false">E11*F11</f>
        <v>3700000</v>
      </c>
      <c r="H11" s="23" t="n">
        <f aca="false">INT((DAY(B11)-1)/7)+1</f>
        <v>2</v>
      </c>
      <c r="I11" s="24" t="str">
        <f aca="false">IF(G11&gt;=$M$8,"Besar","Reguler")</f>
        <v>Reguler</v>
      </c>
      <c r="J11" s="24" t="str">
        <f aca="false">VLOOKUP(C11,Acuan!$A$2:$C$7,2,FALSE())</f>
        <v>Bandung</v>
      </c>
    </row>
    <row r="12" customFormat="false" ht="15" hidden="false" customHeight="false" outlineLevel="0" collapsed="false">
      <c r="A12" s="18" t="n">
        <v>11</v>
      </c>
      <c r="B12" s="19" t="n">
        <v>46305</v>
      </c>
      <c r="C12" s="20" t="s">
        <v>114</v>
      </c>
      <c r="D12" s="20" t="s">
        <v>102</v>
      </c>
      <c r="E12" s="18" t="n">
        <v>3</v>
      </c>
      <c r="F12" s="21" t="n">
        <v>1850000</v>
      </c>
      <c r="G12" s="22" t="n">
        <f aca="false">E12*F12</f>
        <v>5550000</v>
      </c>
      <c r="H12" s="23" t="n">
        <f aca="false">INT((DAY(B12)-1)/7)+1</f>
        <v>2</v>
      </c>
      <c r="I12" s="24" t="str">
        <f aca="false">IF(G12&gt;=$M$8,"Besar","Reguler")</f>
        <v>Reguler</v>
      </c>
      <c r="J12" s="24" t="str">
        <f aca="false">VLOOKUP(C12,Acuan!$A$2:$C$7,2,FALSE())</f>
        <v>Surabaya</v>
      </c>
    </row>
    <row r="13" customFormat="false" ht="15" hidden="false" customHeight="false" outlineLevel="0" collapsed="false">
      <c r="A13" s="18" t="n">
        <v>12</v>
      </c>
      <c r="B13" s="19" t="n">
        <v>46305</v>
      </c>
      <c r="C13" s="20" t="s">
        <v>98</v>
      </c>
      <c r="D13" s="20" t="s">
        <v>115</v>
      </c>
      <c r="E13" s="18" t="n">
        <v>4</v>
      </c>
      <c r="F13" s="21" t="n">
        <v>350000</v>
      </c>
      <c r="G13" s="22" t="n">
        <f aca="false">E13*F13</f>
        <v>1400000</v>
      </c>
      <c r="H13" s="23" t="n">
        <f aca="false">INT((DAY(B13)-1)/7)+1</f>
        <v>2</v>
      </c>
      <c r="I13" s="24" t="str">
        <f aca="false">IF(G13&gt;=$M$8,"Besar","Reguler")</f>
        <v>Reguler</v>
      </c>
      <c r="J13" s="24" t="str">
        <f aca="false">VLOOKUP(C13,Acuan!$A$2:$C$7,2,FALSE())</f>
        <v>Jakarta</v>
      </c>
    </row>
    <row r="14" customFormat="false" ht="15" hidden="false" customHeight="false" outlineLevel="0" collapsed="false">
      <c r="A14" s="18" t="n">
        <v>13</v>
      </c>
      <c r="B14" s="19" t="n">
        <v>46305</v>
      </c>
      <c r="C14" s="20" t="s">
        <v>101</v>
      </c>
      <c r="D14" s="20" t="s">
        <v>99</v>
      </c>
      <c r="E14" s="18" t="n">
        <v>4</v>
      </c>
      <c r="F14" s="21" t="n">
        <v>1450000</v>
      </c>
      <c r="G14" s="22" t="n">
        <f aca="false">E14*F14</f>
        <v>5800000</v>
      </c>
      <c r="H14" s="23" t="n">
        <f aca="false">INT((DAY(B14)-1)/7)+1</f>
        <v>2</v>
      </c>
      <c r="I14" s="24" t="str">
        <f aca="false">IF(G14&gt;=$M$8,"Besar","Reguler")</f>
        <v>Reguler</v>
      </c>
      <c r="J14" s="24" t="str">
        <f aca="false">VLOOKUP(C14,Acuan!$A$2:$C$7,2,FALSE())</f>
        <v>Surabaya</v>
      </c>
    </row>
    <row r="15" customFormat="false" ht="15" hidden="false" customHeight="false" outlineLevel="0" collapsed="false">
      <c r="A15" s="18" t="n">
        <v>14</v>
      </c>
      <c r="B15" s="19" t="n">
        <v>46306</v>
      </c>
      <c r="C15" s="20" t="s">
        <v>113</v>
      </c>
      <c r="D15" s="20" t="s">
        <v>102</v>
      </c>
      <c r="E15" s="18" t="n">
        <v>5</v>
      </c>
      <c r="F15" s="21" t="n">
        <v>1850000</v>
      </c>
      <c r="G15" s="22" t="n">
        <f aca="false">E15*F15</f>
        <v>9250000</v>
      </c>
      <c r="H15" s="23" t="n">
        <f aca="false">INT((DAY(B15)-1)/7)+1</f>
        <v>2</v>
      </c>
      <c r="I15" s="24" t="str">
        <f aca="false">IF(G15&gt;=$M$8,"Besar","Reguler")</f>
        <v>Reguler</v>
      </c>
      <c r="J15" s="24" t="str">
        <f aca="false">VLOOKUP(C15,Acuan!$A$2:$C$7,2,FALSE())</f>
        <v>Bandung</v>
      </c>
    </row>
    <row r="16" customFormat="false" ht="15" hidden="false" customHeight="false" outlineLevel="0" collapsed="false">
      <c r="A16" s="18" t="n">
        <v>15</v>
      </c>
      <c r="B16" s="19" t="n">
        <v>46307</v>
      </c>
      <c r="C16" s="20" t="s">
        <v>101</v>
      </c>
      <c r="D16" s="20" t="s">
        <v>112</v>
      </c>
      <c r="E16" s="18" t="n">
        <v>1</v>
      </c>
      <c r="F16" s="21" t="n">
        <v>8500000</v>
      </c>
      <c r="G16" s="22" t="n">
        <f aca="false">E16*F16</f>
        <v>8500000</v>
      </c>
      <c r="H16" s="23" t="n">
        <f aca="false">INT((DAY(B16)-1)/7)+1</f>
        <v>2</v>
      </c>
      <c r="I16" s="24" t="str">
        <f aca="false">IF(G16&gt;=$M$8,"Besar","Reguler")</f>
        <v>Reguler</v>
      </c>
      <c r="J16" s="24" t="str">
        <f aca="false">VLOOKUP(C16,Acuan!$A$2:$C$7,2,FALSE())</f>
        <v>Surabaya</v>
      </c>
    </row>
    <row r="17" customFormat="false" ht="15" hidden="false" customHeight="false" outlineLevel="0" collapsed="false">
      <c r="A17" s="18" t="n">
        <v>16</v>
      </c>
      <c r="B17" s="19" t="n">
        <v>46308</v>
      </c>
      <c r="C17" s="20" t="s">
        <v>106</v>
      </c>
      <c r="D17" s="20" t="s">
        <v>115</v>
      </c>
      <c r="E17" s="18" t="n">
        <v>7</v>
      </c>
      <c r="F17" s="21" t="n">
        <v>350000</v>
      </c>
      <c r="G17" s="22" t="n">
        <f aca="false">E17*F17</f>
        <v>2450000</v>
      </c>
      <c r="H17" s="23" t="n">
        <f aca="false">INT((DAY(B17)-1)/7)+1</f>
        <v>2</v>
      </c>
      <c r="I17" s="24" t="str">
        <f aca="false">IF(G17&gt;=$M$8,"Besar","Reguler")</f>
        <v>Reguler</v>
      </c>
      <c r="J17" s="24" t="str">
        <f aca="false">VLOOKUP(C17,Acuan!$A$2:$C$7,2,FALSE())</f>
        <v>Jakarta</v>
      </c>
    </row>
    <row r="18" customFormat="false" ht="15" hidden="false" customHeight="false" outlineLevel="0" collapsed="false">
      <c r="A18" s="18" t="n">
        <v>17</v>
      </c>
      <c r="B18" s="19" t="n">
        <v>46308</v>
      </c>
      <c r="C18" s="20" t="s">
        <v>113</v>
      </c>
      <c r="D18" s="20" t="s">
        <v>112</v>
      </c>
      <c r="E18" s="18" t="n">
        <v>2</v>
      </c>
      <c r="F18" s="21" t="n">
        <v>8500000</v>
      </c>
      <c r="G18" s="22" t="n">
        <f aca="false">E18*F18</f>
        <v>17000000</v>
      </c>
      <c r="H18" s="23" t="n">
        <f aca="false">INT((DAY(B18)-1)/7)+1</f>
        <v>2</v>
      </c>
      <c r="I18" s="24" t="str">
        <f aca="false">IF(G18&gt;=$M$8,"Besar","Reguler")</f>
        <v>Besar</v>
      </c>
      <c r="J18" s="24" t="str">
        <f aca="false">VLOOKUP(C18,Acuan!$A$2:$C$7,2,FALSE())</f>
        <v>Bandung</v>
      </c>
    </row>
    <row r="19" customFormat="false" ht="15" hidden="false" customHeight="false" outlineLevel="0" collapsed="false">
      <c r="A19" s="18" t="n">
        <v>18</v>
      </c>
      <c r="B19" s="19" t="n">
        <v>46308</v>
      </c>
      <c r="C19" s="20" t="s">
        <v>95</v>
      </c>
      <c r="D19" s="20" t="s">
        <v>112</v>
      </c>
      <c r="E19" s="18" t="n">
        <v>4</v>
      </c>
      <c r="F19" s="21" t="n">
        <v>8500000</v>
      </c>
      <c r="G19" s="22" t="n">
        <f aca="false">E19*F19</f>
        <v>34000000</v>
      </c>
      <c r="H19" s="23" t="n">
        <f aca="false">INT((DAY(B19)-1)/7)+1</f>
        <v>2</v>
      </c>
      <c r="I19" s="24" t="str">
        <f aca="false">IF(G19&gt;=$M$8,"Besar","Reguler")</f>
        <v>Besar</v>
      </c>
      <c r="J19" s="24" t="str">
        <f aca="false">VLOOKUP(C19,Acuan!$A$2:$C$7,2,FALSE())</f>
        <v>Semarang</v>
      </c>
    </row>
    <row r="20" customFormat="false" ht="15" hidden="false" customHeight="false" outlineLevel="0" collapsed="false">
      <c r="A20" s="18" t="n">
        <v>19</v>
      </c>
      <c r="B20" s="19" t="n">
        <v>46309</v>
      </c>
      <c r="C20" s="20" t="s">
        <v>101</v>
      </c>
      <c r="D20" s="20" t="s">
        <v>109</v>
      </c>
      <c r="E20" s="18" t="n">
        <v>3</v>
      </c>
      <c r="F20" s="21" t="n">
        <v>750000</v>
      </c>
      <c r="G20" s="22" t="n">
        <f aca="false">E20*F20</f>
        <v>2250000</v>
      </c>
      <c r="H20" s="23" t="n">
        <f aca="false">INT((DAY(B20)-1)/7)+1</f>
        <v>2</v>
      </c>
      <c r="I20" s="24" t="str">
        <f aca="false">IF(G20&gt;=$M$8,"Besar","Reguler")</f>
        <v>Reguler</v>
      </c>
      <c r="J20" s="24" t="str">
        <f aca="false">VLOOKUP(C20,Acuan!$A$2:$C$7,2,FALSE())</f>
        <v>Surabaya</v>
      </c>
    </row>
    <row r="21" customFormat="false" ht="15" hidden="false" customHeight="false" outlineLevel="0" collapsed="false">
      <c r="A21" s="18" t="n">
        <v>20</v>
      </c>
      <c r="B21" s="19" t="n">
        <v>46310</v>
      </c>
      <c r="C21" s="20" t="s">
        <v>98</v>
      </c>
      <c r="D21" s="20" t="s">
        <v>115</v>
      </c>
      <c r="E21" s="18" t="n">
        <v>6</v>
      </c>
      <c r="F21" s="21" t="n">
        <v>350000</v>
      </c>
      <c r="G21" s="22" t="n">
        <f aca="false">E21*F21</f>
        <v>2100000</v>
      </c>
      <c r="H21" s="23" t="n">
        <f aca="false">INT((DAY(B21)-1)/7)+1</f>
        <v>3</v>
      </c>
      <c r="I21" s="24" t="str">
        <f aca="false">IF(G21&gt;=$M$8,"Besar","Reguler")</f>
        <v>Reguler</v>
      </c>
      <c r="J21" s="24" t="str">
        <f aca="false">VLOOKUP(C21,Acuan!$A$2:$C$7,2,FALSE())</f>
        <v>Jakarta</v>
      </c>
    </row>
    <row r="22" customFormat="false" ht="15" hidden="false" customHeight="false" outlineLevel="0" collapsed="false">
      <c r="A22" s="18" t="n">
        <v>21</v>
      </c>
      <c r="B22" s="19" t="n">
        <v>46310</v>
      </c>
      <c r="C22" s="20" t="s">
        <v>113</v>
      </c>
      <c r="D22" s="20" t="s">
        <v>112</v>
      </c>
      <c r="E22" s="18" t="n">
        <v>2</v>
      </c>
      <c r="F22" s="21" t="n">
        <v>8500000</v>
      </c>
      <c r="G22" s="22" t="n">
        <f aca="false">E22*F22</f>
        <v>17000000</v>
      </c>
      <c r="H22" s="23" t="n">
        <f aca="false">INT((DAY(B22)-1)/7)+1</f>
        <v>3</v>
      </c>
      <c r="I22" s="24" t="str">
        <f aca="false">IF(G22&gt;=$M$8,"Besar","Reguler")</f>
        <v>Besar</v>
      </c>
      <c r="J22" s="24" t="str">
        <f aca="false">VLOOKUP(C22,Acuan!$A$2:$C$7,2,FALSE())</f>
        <v>Bandung</v>
      </c>
    </row>
    <row r="23" customFormat="false" ht="15" hidden="false" customHeight="false" outlineLevel="0" collapsed="false">
      <c r="A23" s="18" t="n">
        <v>22</v>
      </c>
      <c r="B23" s="19" t="n">
        <v>46311</v>
      </c>
      <c r="C23" s="20" t="s">
        <v>114</v>
      </c>
      <c r="D23" s="20" t="s">
        <v>112</v>
      </c>
      <c r="E23" s="18" t="n">
        <v>1</v>
      </c>
      <c r="F23" s="21" t="n">
        <v>8500000</v>
      </c>
      <c r="G23" s="22" t="n">
        <f aca="false">E23*F23</f>
        <v>8500000</v>
      </c>
      <c r="H23" s="23" t="n">
        <f aca="false">INT((DAY(B23)-1)/7)+1</f>
        <v>3</v>
      </c>
      <c r="I23" s="24" t="str">
        <f aca="false">IF(G23&gt;=$M$8,"Besar","Reguler")</f>
        <v>Reguler</v>
      </c>
      <c r="J23" s="24" t="str">
        <f aca="false">VLOOKUP(C23,Acuan!$A$2:$C$7,2,FALSE())</f>
        <v>Surabaya</v>
      </c>
    </row>
    <row r="24" customFormat="false" ht="15" hidden="false" customHeight="false" outlineLevel="0" collapsed="false">
      <c r="A24" s="18" t="n">
        <v>23</v>
      </c>
      <c r="B24" s="19" t="n">
        <v>46311</v>
      </c>
      <c r="C24" s="20" t="s">
        <v>113</v>
      </c>
      <c r="D24" s="20" t="s">
        <v>115</v>
      </c>
      <c r="E24" s="18" t="n">
        <v>7</v>
      </c>
      <c r="F24" s="21" t="n">
        <v>350000</v>
      </c>
      <c r="G24" s="22" t="n">
        <f aca="false">E24*F24</f>
        <v>2450000</v>
      </c>
      <c r="H24" s="23" t="n">
        <f aca="false">INT((DAY(B24)-1)/7)+1</f>
        <v>3</v>
      </c>
      <c r="I24" s="24" t="str">
        <f aca="false">IF(G24&gt;=$M$8,"Besar","Reguler")</f>
        <v>Reguler</v>
      </c>
      <c r="J24" s="24" t="str">
        <f aca="false">VLOOKUP(C24,Acuan!$A$2:$C$7,2,FALSE())</f>
        <v>Bandung</v>
      </c>
    </row>
    <row r="25" customFormat="false" ht="15" hidden="false" customHeight="false" outlineLevel="0" collapsed="false">
      <c r="A25" s="18" t="n">
        <v>24</v>
      </c>
      <c r="B25" s="19" t="n">
        <v>46313</v>
      </c>
      <c r="C25" s="20" t="s">
        <v>114</v>
      </c>
      <c r="D25" s="20" t="s">
        <v>116</v>
      </c>
      <c r="E25" s="18" t="n">
        <v>6</v>
      </c>
      <c r="F25" s="21" t="n">
        <v>650000</v>
      </c>
      <c r="G25" s="22" t="n">
        <f aca="false">E25*F25</f>
        <v>3900000</v>
      </c>
      <c r="H25" s="23" t="n">
        <f aca="false">INT((DAY(B25)-1)/7)+1</f>
        <v>3</v>
      </c>
      <c r="I25" s="24" t="str">
        <f aca="false">IF(G25&gt;=$M$8,"Besar","Reguler")</f>
        <v>Reguler</v>
      </c>
      <c r="J25" s="24" t="str">
        <f aca="false">VLOOKUP(C25,Acuan!$A$2:$C$7,2,FALSE())</f>
        <v>Surabaya</v>
      </c>
    </row>
    <row r="26" customFormat="false" ht="15" hidden="false" customHeight="false" outlineLevel="0" collapsed="false">
      <c r="A26" s="18" t="n">
        <v>25</v>
      </c>
      <c r="B26" s="19" t="n">
        <v>46315</v>
      </c>
      <c r="C26" s="20" t="s">
        <v>98</v>
      </c>
      <c r="D26" s="20" t="s">
        <v>102</v>
      </c>
      <c r="E26" s="18" t="n">
        <v>6</v>
      </c>
      <c r="F26" s="21" t="n">
        <v>1850000</v>
      </c>
      <c r="G26" s="22" t="n">
        <f aca="false">E26*F26</f>
        <v>11100000</v>
      </c>
      <c r="H26" s="23" t="n">
        <f aca="false">INT((DAY(B26)-1)/7)+1</f>
        <v>3</v>
      </c>
      <c r="I26" s="24" t="str">
        <f aca="false">IF(G26&gt;=$M$8,"Besar","Reguler")</f>
        <v>Reguler</v>
      </c>
      <c r="J26" s="24" t="str">
        <f aca="false">VLOOKUP(C26,Acuan!$A$2:$C$7,2,FALSE())</f>
        <v>Jakarta</v>
      </c>
    </row>
    <row r="27" customFormat="false" ht="15" hidden="false" customHeight="false" outlineLevel="0" collapsed="false">
      <c r="A27" s="18" t="n">
        <v>26</v>
      </c>
      <c r="B27" s="19" t="n">
        <v>46316</v>
      </c>
      <c r="C27" s="20" t="s">
        <v>114</v>
      </c>
      <c r="D27" s="20" t="s">
        <v>116</v>
      </c>
      <c r="E27" s="18" t="n">
        <v>8</v>
      </c>
      <c r="F27" s="21" t="n">
        <v>650000</v>
      </c>
      <c r="G27" s="22" t="n">
        <f aca="false">E27*F27</f>
        <v>5200000</v>
      </c>
      <c r="H27" s="23" t="n">
        <f aca="false">INT((DAY(B27)-1)/7)+1</f>
        <v>3</v>
      </c>
      <c r="I27" s="24" t="str">
        <f aca="false">IF(G27&gt;=$M$8,"Besar","Reguler")</f>
        <v>Reguler</v>
      </c>
      <c r="J27" s="24" t="str">
        <f aca="false">VLOOKUP(C27,Acuan!$A$2:$C$7,2,FALSE())</f>
        <v>Surabaya</v>
      </c>
    </row>
    <row r="28" customFormat="false" ht="15" hidden="false" customHeight="false" outlineLevel="0" collapsed="false">
      <c r="A28" s="18" t="n">
        <v>27</v>
      </c>
      <c r="B28" s="19" t="n">
        <v>46316</v>
      </c>
      <c r="C28" s="20" t="s">
        <v>101</v>
      </c>
      <c r="D28" s="20" t="s">
        <v>112</v>
      </c>
      <c r="E28" s="18" t="n">
        <v>2</v>
      </c>
      <c r="F28" s="21" t="n">
        <v>8500000</v>
      </c>
      <c r="G28" s="22" t="n">
        <f aca="false">E28*F28</f>
        <v>17000000</v>
      </c>
      <c r="H28" s="23" t="n">
        <f aca="false">INT((DAY(B28)-1)/7)+1</f>
        <v>3</v>
      </c>
      <c r="I28" s="24" t="str">
        <f aca="false">IF(G28&gt;=$M$8,"Besar","Reguler")</f>
        <v>Besar</v>
      </c>
      <c r="J28" s="24" t="str">
        <f aca="false">VLOOKUP(C28,Acuan!$A$2:$C$7,2,FALSE())</f>
        <v>Surabaya</v>
      </c>
    </row>
    <row r="29" customFormat="false" ht="15" hidden="false" customHeight="false" outlineLevel="0" collapsed="false">
      <c r="A29" s="18" t="n">
        <v>28</v>
      </c>
      <c r="B29" s="19" t="n">
        <v>46316</v>
      </c>
      <c r="C29" s="20" t="s">
        <v>95</v>
      </c>
      <c r="D29" s="20" t="s">
        <v>112</v>
      </c>
      <c r="E29" s="18" t="n">
        <v>3</v>
      </c>
      <c r="F29" s="21" t="n">
        <v>8500000</v>
      </c>
      <c r="G29" s="22" t="n">
        <f aca="false">E29*F29</f>
        <v>25500000</v>
      </c>
      <c r="H29" s="23" t="n">
        <f aca="false">INT((DAY(B29)-1)/7)+1</f>
        <v>3</v>
      </c>
      <c r="I29" s="24" t="str">
        <f aca="false">IF(G29&gt;=$M$8,"Besar","Reguler")</f>
        <v>Besar</v>
      </c>
      <c r="J29" s="24" t="str">
        <f aca="false">VLOOKUP(C29,Acuan!$A$2:$C$7,2,FALSE())</f>
        <v>Semarang</v>
      </c>
    </row>
    <row r="30" customFormat="false" ht="15" hidden="false" customHeight="false" outlineLevel="0" collapsed="false">
      <c r="A30" s="18" t="n">
        <v>29</v>
      </c>
      <c r="B30" s="19" t="n">
        <v>46318</v>
      </c>
      <c r="C30" s="20" t="s">
        <v>114</v>
      </c>
      <c r="D30" s="20" t="s">
        <v>116</v>
      </c>
      <c r="E30" s="18" t="n">
        <v>6</v>
      </c>
      <c r="F30" s="21" t="n">
        <v>650000</v>
      </c>
      <c r="G30" s="22" t="n">
        <f aca="false">E30*F30</f>
        <v>3900000</v>
      </c>
      <c r="H30" s="23" t="n">
        <f aca="false">INT((DAY(B30)-1)/7)+1</f>
        <v>4</v>
      </c>
      <c r="I30" s="24" t="str">
        <f aca="false">IF(G30&gt;=$M$8,"Besar","Reguler")</f>
        <v>Reguler</v>
      </c>
      <c r="J30" s="24" t="str">
        <f aca="false">VLOOKUP(C30,Acuan!$A$2:$C$7,2,FALSE())</f>
        <v>Surabaya</v>
      </c>
    </row>
    <row r="31" customFormat="false" ht="15" hidden="false" customHeight="false" outlineLevel="0" collapsed="false">
      <c r="A31" s="18" t="n">
        <v>30</v>
      </c>
      <c r="B31" s="19" t="n">
        <v>46318</v>
      </c>
      <c r="C31" s="20" t="s">
        <v>113</v>
      </c>
      <c r="D31" s="20" t="s">
        <v>116</v>
      </c>
      <c r="E31" s="18" t="n">
        <v>7</v>
      </c>
      <c r="F31" s="21" t="n">
        <v>650000</v>
      </c>
      <c r="G31" s="22" t="n">
        <f aca="false">E31*F31</f>
        <v>4550000</v>
      </c>
      <c r="H31" s="23" t="n">
        <f aca="false">INT((DAY(B31)-1)/7)+1</f>
        <v>4</v>
      </c>
      <c r="I31" s="24" t="str">
        <f aca="false">IF(G31&gt;=$M$8,"Besar","Reguler")</f>
        <v>Reguler</v>
      </c>
      <c r="J31" s="24" t="str">
        <f aca="false">VLOOKUP(C31,Acuan!$A$2:$C$7,2,FALSE())</f>
        <v>Bandung</v>
      </c>
    </row>
    <row r="32" customFormat="false" ht="15" hidden="false" customHeight="false" outlineLevel="0" collapsed="false">
      <c r="A32" s="18" t="n">
        <v>31</v>
      </c>
      <c r="B32" s="19" t="n">
        <v>46318</v>
      </c>
      <c r="C32" s="20" t="s">
        <v>114</v>
      </c>
      <c r="D32" s="20" t="s">
        <v>96</v>
      </c>
      <c r="E32" s="18" t="n">
        <v>5</v>
      </c>
      <c r="F32" s="21" t="n">
        <v>2100000</v>
      </c>
      <c r="G32" s="22" t="n">
        <f aca="false">E32*F32</f>
        <v>10500000</v>
      </c>
      <c r="H32" s="23" t="n">
        <f aca="false">INT((DAY(B32)-1)/7)+1</f>
        <v>4</v>
      </c>
      <c r="I32" s="24" t="str">
        <f aca="false">IF(G32&gt;=$M$8,"Besar","Reguler")</f>
        <v>Reguler</v>
      </c>
      <c r="J32" s="24" t="str">
        <f aca="false">VLOOKUP(C32,Acuan!$A$2:$C$7,2,FALSE())</f>
        <v>Surabaya</v>
      </c>
    </row>
    <row r="33" customFormat="false" ht="15" hidden="false" customHeight="false" outlineLevel="0" collapsed="false">
      <c r="A33" s="18" t="n">
        <v>32</v>
      </c>
      <c r="B33" s="19" t="n">
        <v>46319</v>
      </c>
      <c r="C33" s="20" t="s">
        <v>114</v>
      </c>
      <c r="D33" s="20" t="s">
        <v>96</v>
      </c>
      <c r="E33" s="18" t="n">
        <v>1</v>
      </c>
      <c r="F33" s="21" t="n">
        <v>2100000</v>
      </c>
      <c r="G33" s="22" t="n">
        <f aca="false">E33*F33</f>
        <v>2100000</v>
      </c>
      <c r="H33" s="23" t="n">
        <f aca="false">INT((DAY(B33)-1)/7)+1</f>
        <v>4</v>
      </c>
      <c r="I33" s="24" t="str">
        <f aca="false">IF(G33&gt;=$M$8,"Besar","Reguler")</f>
        <v>Reguler</v>
      </c>
      <c r="J33" s="24" t="str">
        <f aca="false">VLOOKUP(C33,Acuan!$A$2:$C$7,2,FALSE())</f>
        <v>Surabaya</v>
      </c>
    </row>
    <row r="34" customFormat="false" ht="15" hidden="false" customHeight="false" outlineLevel="0" collapsed="false">
      <c r="A34" s="18" t="n">
        <v>33</v>
      </c>
      <c r="B34" s="19" t="n">
        <v>46319</v>
      </c>
      <c r="C34" s="20" t="s">
        <v>98</v>
      </c>
      <c r="D34" s="20" t="s">
        <v>102</v>
      </c>
      <c r="E34" s="18" t="n">
        <v>5</v>
      </c>
      <c r="F34" s="21" t="n">
        <v>1850000</v>
      </c>
      <c r="G34" s="22" t="n">
        <f aca="false">E34*F34</f>
        <v>9250000</v>
      </c>
      <c r="H34" s="23" t="n">
        <f aca="false">INT((DAY(B34)-1)/7)+1</f>
        <v>4</v>
      </c>
      <c r="I34" s="24" t="str">
        <f aca="false">IF(G34&gt;=$M$8,"Besar","Reguler")</f>
        <v>Reguler</v>
      </c>
      <c r="J34" s="24" t="str">
        <f aca="false">VLOOKUP(C34,Acuan!$A$2:$C$7,2,FALSE())</f>
        <v>Jakarta</v>
      </c>
    </row>
    <row r="35" customFormat="false" ht="15" hidden="false" customHeight="false" outlineLevel="0" collapsed="false">
      <c r="A35" s="18" t="n">
        <v>34</v>
      </c>
      <c r="B35" s="19" t="n">
        <v>46320</v>
      </c>
      <c r="C35" s="20" t="s">
        <v>95</v>
      </c>
      <c r="D35" s="20" t="s">
        <v>116</v>
      </c>
      <c r="E35" s="18" t="n">
        <v>3</v>
      </c>
      <c r="F35" s="21" t="n">
        <v>650000</v>
      </c>
      <c r="G35" s="22" t="n">
        <f aca="false">E35*F35</f>
        <v>1950000</v>
      </c>
      <c r="H35" s="23" t="n">
        <f aca="false">INT((DAY(B35)-1)/7)+1</f>
        <v>4</v>
      </c>
      <c r="I35" s="24" t="str">
        <f aca="false">IF(G35&gt;=$M$8,"Besar","Reguler")</f>
        <v>Reguler</v>
      </c>
      <c r="J35" s="24" t="str">
        <f aca="false">VLOOKUP(C35,Acuan!$A$2:$C$7,2,FALSE())</f>
        <v>Semarang</v>
      </c>
    </row>
    <row r="36" customFormat="false" ht="15" hidden="false" customHeight="false" outlineLevel="0" collapsed="false">
      <c r="A36" s="18" t="n">
        <v>35</v>
      </c>
      <c r="B36" s="19" t="n">
        <v>46323</v>
      </c>
      <c r="C36" s="20" t="s">
        <v>101</v>
      </c>
      <c r="D36" s="20" t="s">
        <v>116</v>
      </c>
      <c r="E36" s="18" t="n">
        <v>4</v>
      </c>
      <c r="F36" s="21" t="n">
        <v>650000</v>
      </c>
      <c r="G36" s="22" t="n">
        <f aca="false">E36*F36</f>
        <v>2600000</v>
      </c>
      <c r="H36" s="23" t="n">
        <f aca="false">INT((DAY(B36)-1)/7)+1</f>
        <v>4</v>
      </c>
      <c r="I36" s="24" t="str">
        <f aca="false">IF(G36&gt;=$M$8,"Besar","Reguler")</f>
        <v>Reguler</v>
      </c>
      <c r="J36" s="24" t="str">
        <f aca="false">VLOOKUP(C36,Acuan!$A$2:$C$7,2,FALSE())</f>
        <v>Surabaya</v>
      </c>
    </row>
    <row r="37" customFormat="false" ht="15" hidden="false" customHeight="false" outlineLevel="0" collapsed="false">
      <c r="A37" s="18" t="n">
        <v>36</v>
      </c>
      <c r="B37" s="19" t="n">
        <v>46324</v>
      </c>
      <c r="C37" s="20" t="s">
        <v>98</v>
      </c>
      <c r="D37" s="20" t="s">
        <v>112</v>
      </c>
      <c r="E37" s="18" t="n">
        <v>2</v>
      </c>
      <c r="F37" s="21" t="n">
        <v>8500000</v>
      </c>
      <c r="G37" s="22" t="n">
        <f aca="false">E37*F37</f>
        <v>17000000</v>
      </c>
      <c r="H37" s="23" t="n">
        <f aca="false">INT((DAY(B37)-1)/7)+1</f>
        <v>5</v>
      </c>
      <c r="I37" s="24" t="str">
        <f aca="false">IF(G37&gt;=$M$8,"Besar","Reguler")</f>
        <v>Besar</v>
      </c>
      <c r="J37" s="24" t="str">
        <f aca="false">VLOOKUP(C37,Acuan!$A$2:$C$7,2,FALSE())</f>
        <v>Jakarta</v>
      </c>
    </row>
    <row r="38" customFormat="false" ht="15" hidden="false" customHeight="false" outlineLevel="0" collapsed="false">
      <c r="A38" s="18" t="n">
        <v>37</v>
      </c>
      <c r="B38" s="19" t="n">
        <v>46324</v>
      </c>
      <c r="C38" s="20" t="s">
        <v>114</v>
      </c>
      <c r="D38" s="20" t="s">
        <v>96</v>
      </c>
      <c r="E38" s="18" t="n">
        <v>6</v>
      </c>
      <c r="F38" s="21" t="n">
        <v>2100000</v>
      </c>
      <c r="G38" s="22" t="n">
        <f aca="false">E38*F38</f>
        <v>12600000</v>
      </c>
      <c r="H38" s="23" t="n">
        <f aca="false">INT((DAY(B38)-1)/7)+1</f>
        <v>5</v>
      </c>
      <c r="I38" s="24" t="str">
        <f aca="false">IF(G38&gt;=$M$8,"Besar","Reguler")</f>
        <v>Reguler</v>
      </c>
      <c r="J38" s="24" t="str">
        <f aca="false">VLOOKUP(C38,Acuan!$A$2:$C$7,2,FALSE())</f>
        <v>Surabaya</v>
      </c>
    </row>
    <row r="39" customFormat="false" ht="15" hidden="false" customHeight="false" outlineLevel="0" collapsed="false">
      <c r="A39" s="18" t="n">
        <v>38</v>
      </c>
      <c r="B39" s="19" t="n">
        <v>46324</v>
      </c>
      <c r="C39" s="20" t="s">
        <v>98</v>
      </c>
      <c r="D39" s="20" t="s">
        <v>112</v>
      </c>
      <c r="E39" s="18" t="n">
        <v>2</v>
      </c>
      <c r="F39" s="21" t="n">
        <v>8500000</v>
      </c>
      <c r="G39" s="22" t="n">
        <f aca="false">E39*F39</f>
        <v>17000000</v>
      </c>
      <c r="H39" s="23" t="n">
        <f aca="false">INT((DAY(B39)-1)/7)+1</f>
        <v>5</v>
      </c>
      <c r="I39" s="24" t="str">
        <f aca="false">IF(G39&gt;=$M$8,"Besar","Reguler")</f>
        <v>Besar</v>
      </c>
      <c r="J39" s="24" t="str">
        <f aca="false">VLOOKUP(C39,Acuan!$A$2:$C$7,2,FALSE())</f>
        <v>Jakarta</v>
      </c>
    </row>
    <row r="40" customFormat="false" ht="15" hidden="false" customHeight="false" outlineLevel="0" collapsed="false">
      <c r="A40" s="18" t="n">
        <v>39</v>
      </c>
      <c r="B40" s="19" t="n">
        <v>46324</v>
      </c>
      <c r="C40" s="20" t="s">
        <v>114</v>
      </c>
      <c r="D40" s="20" t="s">
        <v>116</v>
      </c>
      <c r="E40" s="18" t="n">
        <v>3</v>
      </c>
      <c r="F40" s="21" t="n">
        <v>650000</v>
      </c>
      <c r="G40" s="22" t="n">
        <f aca="false">E40*F40</f>
        <v>1950000</v>
      </c>
      <c r="H40" s="23" t="n">
        <f aca="false">INT((DAY(B40)-1)/7)+1</f>
        <v>5</v>
      </c>
      <c r="I40" s="24" t="str">
        <f aca="false">IF(G40&gt;=$M$8,"Besar","Reguler")</f>
        <v>Reguler</v>
      </c>
      <c r="J40" s="24" t="str">
        <f aca="false">VLOOKUP(C40,Acuan!$A$2:$C$7,2,FALSE())</f>
        <v>Surabaya</v>
      </c>
    </row>
    <row r="41" customFormat="false" ht="15" hidden="false" customHeight="false" outlineLevel="0" collapsed="false">
      <c r="A41" s="18" t="n">
        <v>40</v>
      </c>
      <c r="B41" s="19" t="n">
        <v>46324</v>
      </c>
      <c r="C41" s="20" t="s">
        <v>101</v>
      </c>
      <c r="D41" s="20" t="s">
        <v>109</v>
      </c>
      <c r="E41" s="18" t="n">
        <v>1</v>
      </c>
      <c r="F41" s="21" t="n">
        <v>750000</v>
      </c>
      <c r="G41" s="22" t="n">
        <f aca="false">E41*F41</f>
        <v>750000</v>
      </c>
      <c r="H41" s="23" t="n">
        <f aca="false">INT((DAY(B41)-1)/7)+1</f>
        <v>5</v>
      </c>
      <c r="I41" s="24" t="str">
        <f aca="false">IF(G41&gt;=$M$8,"Besar","Reguler")</f>
        <v>Reguler</v>
      </c>
      <c r="J41" s="24" t="str">
        <f aca="false">VLOOKUP(C41,Acuan!$A$2:$C$7,2,FALSE())</f>
        <v>Surabaya</v>
      </c>
    </row>
    <row r="42" customFormat="false" ht="15" hidden="false" customHeight="false" outlineLevel="0" collapsed="false">
      <c r="A42" s="18" t="n">
        <v>41</v>
      </c>
      <c r="B42" s="19" t="n">
        <v>46324</v>
      </c>
      <c r="C42" s="20" t="s">
        <v>114</v>
      </c>
      <c r="D42" s="20" t="s">
        <v>112</v>
      </c>
      <c r="E42" s="18" t="n">
        <v>4</v>
      </c>
      <c r="F42" s="21" t="n">
        <v>8500000</v>
      </c>
      <c r="G42" s="22" t="n">
        <f aca="false">E42*F42</f>
        <v>34000000</v>
      </c>
      <c r="H42" s="23" t="n">
        <f aca="false">INT((DAY(B42)-1)/7)+1</f>
        <v>5</v>
      </c>
      <c r="I42" s="24" t="str">
        <f aca="false">IF(G42&gt;=$M$8,"Besar","Reguler")</f>
        <v>Besar</v>
      </c>
      <c r="J42" s="24" t="str">
        <f aca="false">VLOOKUP(C42,Acuan!$A$2:$C$7,2,FALSE())</f>
        <v>Surabaya</v>
      </c>
    </row>
    <row r="43" customFormat="false" ht="15" hidden="false" customHeight="false" outlineLevel="0" collapsed="false">
      <c r="A43" s="18" t="n">
        <v>42</v>
      </c>
      <c r="B43" s="19" t="n">
        <v>46326</v>
      </c>
      <c r="C43" s="20" t="s">
        <v>113</v>
      </c>
      <c r="D43" s="20" t="s">
        <v>96</v>
      </c>
      <c r="E43" s="18" t="n">
        <v>2</v>
      </c>
      <c r="F43" s="21" t="n">
        <v>2100000</v>
      </c>
      <c r="G43" s="22" t="n">
        <f aca="false">E43*F43</f>
        <v>4200000</v>
      </c>
      <c r="H43" s="23" t="n">
        <f aca="false">INT((DAY(B43)-1)/7)+1</f>
        <v>5</v>
      </c>
      <c r="I43" s="24" t="str">
        <f aca="false">IF(G43&gt;=$M$8,"Besar","Reguler")</f>
        <v>Reguler</v>
      </c>
      <c r="J43" s="24" t="str">
        <f aca="false">VLOOKUP(C43,Acuan!$A$2:$C$7,2,FALSE())</f>
        <v>Bandung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12" t="s">
        <v>84</v>
      </c>
      <c r="B1" s="12" t="s">
        <v>91</v>
      </c>
      <c r="C1" s="12" t="s">
        <v>117</v>
      </c>
      <c r="D1" s="16" t="s">
        <v>118</v>
      </c>
      <c r="E1" s="16" t="s">
        <v>119</v>
      </c>
      <c r="F1" s="16" t="s">
        <v>120</v>
      </c>
      <c r="G1" s="16" t="s">
        <v>121</v>
      </c>
      <c r="H1" s="16" t="s">
        <v>122</v>
      </c>
    </row>
    <row r="2" customFormat="false" ht="15" hidden="false" customHeight="false" outlineLevel="0" collapsed="false">
      <c r="A2" s="20" t="s">
        <v>106</v>
      </c>
      <c r="B2" s="20" t="s">
        <v>123</v>
      </c>
      <c r="C2" s="21" t="n">
        <v>62000000</v>
      </c>
      <c r="D2" s="22" t="n">
        <f aca="false">SUMIF(Data!$C$2:$C$43,A2,Data!$G$2:$G$43)</f>
        <v>55650000</v>
      </c>
      <c r="E2" s="23" t="n">
        <f aca="false">COUNTIF(Data!$C$2:$C$43,A2)</f>
        <v>4</v>
      </c>
      <c r="F2" s="29" t="n">
        <f aca="false">D2/C2</f>
        <v>0.89758064516129</v>
      </c>
      <c r="G2" s="30" t="n">
        <f aca="false">IF(F2&gt;=Data!$M$4,Data!$M$7,IF(F2&gt;=Data!$M$3,Data!$M$6,IF(F2&gt;=Data!$M$2,Data!$M$5,0)))</f>
        <v>0.01</v>
      </c>
      <c r="H2" s="22" t="n">
        <f aca="false">ROUND(D2*G2,0)</f>
        <v>556500</v>
      </c>
    </row>
    <row r="3" customFormat="false" ht="15" hidden="false" customHeight="false" outlineLevel="0" collapsed="false">
      <c r="A3" s="20" t="s">
        <v>98</v>
      </c>
      <c r="B3" s="20" t="s">
        <v>123</v>
      </c>
      <c r="C3" s="21" t="n">
        <v>51000000</v>
      </c>
      <c r="D3" s="22" t="n">
        <f aca="false">SUMIF(Data!$C$2:$C$43,A3,Data!$G$2:$G$43)</f>
        <v>65750000</v>
      </c>
      <c r="E3" s="23" t="n">
        <f aca="false">COUNTIF(Data!$C$2:$C$43,A3)</f>
        <v>8</v>
      </c>
      <c r="F3" s="29" t="n">
        <f aca="false">D3/C3</f>
        <v>1.28921568627451</v>
      </c>
      <c r="G3" s="30" t="n">
        <f aca="false">IF(F3&gt;=Data!$M$4,Data!$M$7,IF(F3&gt;=Data!$M$3,Data!$M$6,IF(F3&gt;=Data!$M$2,Data!$M$5,0)))</f>
        <v>0.03</v>
      </c>
      <c r="H3" s="22" t="n">
        <f aca="false">ROUND(D3*G3,0)</f>
        <v>1972500</v>
      </c>
    </row>
    <row r="4" customFormat="false" ht="15" hidden="false" customHeight="false" outlineLevel="0" collapsed="false">
      <c r="A4" s="20" t="s">
        <v>113</v>
      </c>
      <c r="B4" s="20" t="s">
        <v>124</v>
      </c>
      <c r="C4" s="21" t="n">
        <v>68000000</v>
      </c>
      <c r="D4" s="22" t="n">
        <f aca="false">SUMIF(Data!$C$2:$C$43,A4,Data!$G$2:$G$43)</f>
        <v>58150000</v>
      </c>
      <c r="E4" s="23" t="n">
        <f aca="false">COUNTIF(Data!$C$2:$C$43,A4)</f>
        <v>7</v>
      </c>
      <c r="F4" s="29" t="n">
        <f aca="false">D4/C4</f>
        <v>0.855147058823529</v>
      </c>
      <c r="G4" s="30" t="n">
        <f aca="false">IF(F4&gt;=Data!$M$4,Data!$M$7,IF(F4&gt;=Data!$M$3,Data!$M$6,IF(F4&gt;=Data!$M$2,Data!$M$5,0)))</f>
        <v>0.01</v>
      </c>
      <c r="H4" s="22" t="n">
        <f aca="false">ROUND(D4*G4,0)</f>
        <v>581500</v>
      </c>
    </row>
    <row r="5" customFormat="false" ht="15" hidden="false" customHeight="false" outlineLevel="0" collapsed="false">
      <c r="A5" s="20" t="s">
        <v>114</v>
      </c>
      <c r="B5" s="20" t="s">
        <v>125</v>
      </c>
      <c r="C5" s="21" t="n">
        <v>136000000</v>
      </c>
      <c r="D5" s="22" t="n">
        <f aca="false">SUMIF(Data!$C$2:$C$43,A5,Data!$G$2:$G$43)</f>
        <v>88200000</v>
      </c>
      <c r="E5" s="23" t="n">
        <f aca="false">COUNTIF(Data!$C$2:$C$43,A5)</f>
        <v>10</v>
      </c>
      <c r="F5" s="29" t="n">
        <f aca="false">D5/C5</f>
        <v>0.648529411764706</v>
      </c>
      <c r="G5" s="30" t="n">
        <f aca="false">IF(F5&gt;=Data!$M$4,Data!$M$7,IF(F5&gt;=Data!$M$3,Data!$M$6,IF(F5&gt;=Data!$M$2,Data!$M$5,0)))</f>
        <v>0</v>
      </c>
      <c r="H5" s="22" t="n">
        <f aca="false">ROUND(D5*G5,0)</f>
        <v>0</v>
      </c>
    </row>
    <row r="6" customFormat="false" ht="15" hidden="false" customHeight="false" outlineLevel="0" collapsed="false">
      <c r="A6" s="20" t="s">
        <v>101</v>
      </c>
      <c r="B6" s="20" t="s">
        <v>125</v>
      </c>
      <c r="C6" s="21" t="n">
        <v>43000000</v>
      </c>
      <c r="D6" s="22" t="n">
        <f aca="false">SUMIF(Data!$C$2:$C$43,A6,Data!$G$2:$G$43)</f>
        <v>45100000</v>
      </c>
      <c r="E6" s="23" t="n">
        <f aca="false">COUNTIF(Data!$C$2:$C$43,A6)</f>
        <v>8</v>
      </c>
      <c r="F6" s="29" t="n">
        <f aca="false">D6/C6</f>
        <v>1.04883720930233</v>
      </c>
      <c r="G6" s="30" t="n">
        <f aca="false">IF(F6&gt;=Data!$M$4,Data!$M$7,IF(F6&gt;=Data!$M$3,Data!$M$6,IF(F6&gt;=Data!$M$2,Data!$M$5,0)))</f>
        <v>0.02</v>
      </c>
      <c r="H6" s="22" t="n">
        <f aca="false">ROUND(D6*G6,0)</f>
        <v>902000</v>
      </c>
    </row>
    <row r="7" customFormat="false" ht="15" hidden="false" customHeight="false" outlineLevel="0" collapsed="false">
      <c r="A7" s="20" t="s">
        <v>95</v>
      </c>
      <c r="B7" s="20" t="s">
        <v>126</v>
      </c>
      <c r="C7" s="21" t="n">
        <v>76000000</v>
      </c>
      <c r="D7" s="22" t="n">
        <f aca="false">SUMIF(Data!$C$2:$C$43,A7,Data!$G$2:$G$43)</f>
        <v>86850000</v>
      </c>
      <c r="E7" s="23" t="n">
        <f aca="false">COUNTIF(Data!$C$2:$C$43,A7)</f>
        <v>5</v>
      </c>
      <c r="F7" s="29" t="n">
        <f aca="false">D7/C7</f>
        <v>1.14276315789474</v>
      </c>
      <c r="G7" s="30" t="n">
        <f aca="false">IF(F7&gt;=Data!$M$4,Data!$M$7,IF(F7&gt;=Data!$M$3,Data!$M$6,IF(F7&gt;=Data!$M$2,Data!$M$5,0)))</f>
        <v>0.02</v>
      </c>
      <c r="H7" s="22" t="n">
        <f aca="false">ROUND(D7*G7,0)</f>
        <v>1737000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31" t="s">
        <v>127</v>
      </c>
      <c r="B1" s="31"/>
      <c r="C1" s="31"/>
      <c r="D1" s="31"/>
    </row>
    <row r="2" customFormat="false" ht="15" hidden="false" customHeight="false" outlineLevel="0" collapsed="false">
      <c r="A2" s="32" t="s">
        <v>128</v>
      </c>
      <c r="B2" s="32"/>
      <c r="C2" s="32"/>
      <c r="D2" s="32"/>
    </row>
    <row r="3" customFormat="false" ht="15" hidden="false" customHeight="false" outlineLevel="0" collapsed="false">
      <c r="A3" s="12" t="s">
        <v>19</v>
      </c>
      <c r="B3" s="12" t="s">
        <v>129</v>
      </c>
      <c r="C3" s="12" t="s">
        <v>130</v>
      </c>
      <c r="D3" s="12" t="s">
        <v>131</v>
      </c>
    </row>
    <row r="4" customFormat="false" ht="19.5" hidden="false" customHeight="true" outlineLevel="0" collapsed="false">
      <c r="A4" s="33" t="s">
        <v>59</v>
      </c>
      <c r="B4" s="34" t="s">
        <v>132</v>
      </c>
      <c r="C4" s="22" t="n">
        <f aca="false">SUM(Data!$G$2:$G$43)</f>
        <v>399700000</v>
      </c>
      <c r="D4" s="27" t="s">
        <v>133</v>
      </c>
    </row>
    <row r="5" customFormat="false" ht="19.5" hidden="false" customHeight="true" outlineLevel="0" collapsed="false">
      <c r="A5" s="33" t="s">
        <v>63</v>
      </c>
      <c r="B5" s="34" t="s">
        <v>134</v>
      </c>
      <c r="C5" s="22" t="n">
        <f aca="false">SUM(Acuan!$H$2:$H$7)</f>
        <v>5749500</v>
      </c>
      <c r="D5" s="27" t="s">
        <v>135</v>
      </c>
    </row>
    <row r="6" customFormat="false" ht="19.5" hidden="false" customHeight="true" outlineLevel="0" collapsed="false">
      <c r="A6" s="33" t="s">
        <v>67</v>
      </c>
      <c r="B6" s="34" t="s">
        <v>136</v>
      </c>
      <c r="C6" s="24" t="str">
        <f aca="false">INDEX(Acuan!$A$2:$A$7,MATCH(MAX(Acuan!$D$2:$D$7),Acuan!$D$2:$D$7,0))</f>
        <v>Gunawan Susanto</v>
      </c>
      <c r="D6" s="27" t="s">
        <v>137</v>
      </c>
    </row>
    <row r="7" customFormat="false" ht="19.5" hidden="false" customHeight="true" outlineLevel="0" collapsed="false">
      <c r="A7" s="33" t="s">
        <v>71</v>
      </c>
      <c r="B7" s="34" t="s">
        <v>138</v>
      </c>
      <c r="C7" s="23" t="n">
        <f aca="false">COUNTIF(Acuan!$F$2:$F$7,"&gt;=1")</f>
        <v>3</v>
      </c>
      <c r="D7" s="27" t="s">
        <v>139</v>
      </c>
    </row>
    <row r="8" customFormat="false" ht="19.5" hidden="false" customHeight="true" outlineLevel="0" collapsed="false">
      <c r="A8" s="33" t="s">
        <v>140</v>
      </c>
      <c r="B8" s="34" t="s">
        <v>141</v>
      </c>
      <c r="C8" s="22" t="n">
        <f aca="false">SUMIF(Data!$J$2:$J$43,"Jakarta",Data!$G$2:$G$43)</f>
        <v>121400000</v>
      </c>
      <c r="D8" s="27" t="s">
        <v>142</v>
      </c>
    </row>
    <row r="9" customFormat="false" ht="19.5" hidden="false" customHeight="true" outlineLevel="0" collapsed="false">
      <c r="A9" s="33" t="s">
        <v>143</v>
      </c>
      <c r="B9" s="34" t="s">
        <v>144</v>
      </c>
      <c r="C9" s="22" t="n">
        <f aca="false">SUMIF(Data!$J$2:$J$43,"Bandung",Data!$G$2:$G$43)</f>
        <v>58150000</v>
      </c>
      <c r="D9" s="27" t="s">
        <v>142</v>
      </c>
    </row>
    <row r="10" customFormat="false" ht="19.5" hidden="false" customHeight="true" outlineLevel="0" collapsed="false">
      <c r="A10" s="33" t="s">
        <v>145</v>
      </c>
      <c r="B10" s="34" t="s">
        <v>146</v>
      </c>
      <c r="C10" s="22" t="n">
        <f aca="false">SUMIF(Data!$J$2:$J$43,"Surabaya",Data!$G$2:$G$43)</f>
        <v>133300000</v>
      </c>
      <c r="D10" s="27" t="s">
        <v>142</v>
      </c>
    </row>
    <row r="11" customFormat="false" ht="19.5" hidden="false" customHeight="true" outlineLevel="0" collapsed="false">
      <c r="A11" s="33" t="s">
        <v>147</v>
      </c>
      <c r="B11" s="34" t="s">
        <v>148</v>
      </c>
      <c r="C11" s="22" t="n">
        <f aca="false">SUMIF(Data!$J$2:$J$43,"Semarang",Data!$G$2:$G$43)</f>
        <v>86850000</v>
      </c>
      <c r="D11" s="27" t="s">
        <v>142</v>
      </c>
    </row>
    <row r="12" customFormat="false" ht="19.5" hidden="false" customHeight="true" outlineLevel="0" collapsed="false">
      <c r="A12" s="33" t="s">
        <v>149</v>
      </c>
      <c r="B12" s="34" t="s">
        <v>150</v>
      </c>
      <c r="C12" s="23" t="n">
        <f aca="false">COUNTIF(Data!$I$2:$I$43,"Besar")</f>
        <v>10</v>
      </c>
      <c r="D12" s="27" t="s">
        <v>151</v>
      </c>
    </row>
    <row r="13" customFormat="false" ht="19.5" hidden="false" customHeight="true" outlineLevel="0" collapsed="false">
      <c r="A13" s="33" t="s">
        <v>152</v>
      </c>
      <c r="B13" s="34" t="s">
        <v>153</v>
      </c>
      <c r="C13" s="22" t="n">
        <f aca="false">AVERAGE(Data!$G$2:$G$43)</f>
        <v>9516666.66666667</v>
      </c>
      <c r="D13" s="27" t="s">
        <v>151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2026-10-10T06:49:18Z</dcterms:created>
  <dc:creator>PushExcel</dc:creator>
  <dc:description/>
  <dc:language>en-US</dc:language>
  <cp:lastModifiedBy/>
  <dcterms:modified xsi:type="dcterms:W3CDTF">2026-10-10T06:49:18Z</dcterms:modified>
  <cp:revision>0</cp:revision>
  <dc:subject/>
  <dc:title>Penjualan dan Komisi Tim Sales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