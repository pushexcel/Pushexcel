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<sst xmlns="http://schemas.openxmlformats.org/spreadsheetml/2006/main" count="252" uniqueCount="162">
  <si>
    <t xml:space="preserve">Kunci Jawaban: Faktur dan Rekap Penjualan</t>
  </si>
  <si>
    <t xml:space="preserve">Latihan 8 dari 24  |  Tingkat: Lanjutan  |  Perkiraan waktu: 60 menit  |  pushexcel.github.io/Pushexcel</t>
  </si>
  <si>
    <t xml:space="preserve">Skenario</t>
  </si>
  <si>
    <t xml:space="preserve">Kamu admin penjualan di Toko Grosir Berkah. Bulan Oktober 2026 ada 30 faktur penjualan. Untuk tiap faktur kamu mengambil nama dan harga barang dari daftar harga, menghitung diskon bertingkat (2 persen untuk subtotal minimal Rp 500.000, 5 persen untuk minimal Rp 1.000.000), menambah PPN 11 persen, lalu membuat rekap omzet untuk pemilik toko.</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</si>
  <si>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</si>
  <si>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</si>
  <si>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</si>
  <si>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</si>
  <si>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</si>
  <si>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</si>
  <si>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</si>
  <si>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</si>
  <si>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</si>
  <si>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</si>
  <si>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</si>
  <si>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</si>
  <si>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</si>
  <si>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</si>
  <si>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</si>
  <si>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</si>
  <si>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</si>
  <si>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</si>
  <si>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</si>
  <si>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</si>
  <si>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Ambil Nama Barang dari daftar harga di sheet Acuan berdasarkan Kode Barang.</t>
  </si>
  <si>
    <t xml:space="preserve">Sheet Data, kolom G (Nama Barang), baris 2 sampai 31</t>
  </si>
  <si>
    <t xml:space="preserve">=VLOOKUP(D2;Acuan!$A$2:$C$7;2;FALSE)</t>
  </si>
  <si>
    <t xml:space="preserve">2</t>
  </si>
  <si>
    <t xml:space="preserve">Ambil Harga Satuan dari daftar harga yang sama.</t>
  </si>
  <si>
    <t xml:space="preserve">Sheet Data, kolom H (Harga Satuan), baris 2 sampai 31</t>
  </si>
  <si>
    <t xml:space="preserve">=VLOOKUP(D2;Acuan!$A$2:$C$7;3;FALSE)</t>
  </si>
  <si>
    <t xml:space="preserve">3</t>
  </si>
  <si>
    <t xml:space="preserve">Hitung subtotal: jumlah dikali harga satuan.</t>
  </si>
  <si>
    <t xml:space="preserve">Sheet Data, kolom I (Subtotal), baris 2 sampai 31</t>
  </si>
  <si>
    <t xml:space="preserve">=E2*H2</t>
  </si>
  <si>
    <t xml:space="preserve">4</t>
  </si>
  <si>
    <t xml:space="preserve">Hitung diskon: subtotal mulai batas tingkat 2 mendapat diskon tingkat 2, mulai batas tingkat 1 mendapat diskon tingkat 1, di bawahnya tidak ada diskon.</t>
  </si>
  <si>
    <t xml:space="preserve">Sheet Data, kolom J (Diskon), baris 2 sampai 31</t>
  </si>
  <si>
    <t xml:space="preserve">=ROUND(I2*IF(I2&gt;=$O$4;$O$5;IF(I2&gt;=$O$2;$O$3;0));0)</t>
  </si>
  <si>
    <t xml:space="preserve">5</t>
  </si>
  <si>
    <t xml:space="preserve">Hitung PPN dari subtotal setelah diskon, dibulatkan ke rupiah.</t>
  </si>
  <si>
    <t xml:space="preserve">Sheet Data, kolom K (PPN), baris 2 sampai 31</t>
  </si>
  <si>
    <t xml:space="preserve">=ROUND((I2-J2)*$O$6;0)</t>
  </si>
  <si>
    <t xml:space="preserve">6</t>
  </si>
  <si>
    <t xml:space="preserve">Hitung Total Bayar: subtotal dikurangi diskon, ditambah PPN.</t>
  </si>
  <si>
    <t xml:space="preserve">Sheet Data, kolom L (Total Bayar), baris 2 sampai 31</t>
  </si>
  <si>
    <t xml:space="preserve">=I2-J2+K2</t>
  </si>
  <si>
    <t xml:space="preserve">7</t>
  </si>
  <si>
    <t xml:space="preserve">Berapa omzet bulan ini (jumlah Total Bayar seluruh faktur)?</t>
  </si>
  <si>
    <t xml:space="preserve">Sheet Ringkasan, sel C4</t>
  </si>
  <si>
    <t xml:space="preserve">=SUM(Data!$L$2:$L$31)</t>
  </si>
  <si>
    <t xml:space="preserve">8</t>
  </si>
  <si>
    <t xml:space="preserve">Berapa total diskon yang diberikan?</t>
  </si>
  <si>
    <t xml:space="preserve">Sheet Ringkasan, sel C5</t>
  </si>
  <si>
    <t xml:space="preserve">=SUM(Data!$J$2:$J$31)</t>
  </si>
  <si>
    <t xml:space="preserve">9</t>
  </si>
  <si>
    <t xml:space="preserve">Berapa faktur yang mendapat diskon?</t>
  </si>
  <si>
    <t xml:space="preserve">Sheet Ringkasan, sel C6</t>
  </si>
  <si>
    <t xml:space="preserve">=COUNTIF(Data!$J$2:$J$31;"&gt;0")</t>
  </si>
  <si>
    <t xml:space="preserve">10</t>
  </si>
  <si>
    <t xml:space="preserve">Berapa omzet dari pembayaran Tunai dan dari Transfer?</t>
  </si>
  <si>
    <t xml:space="preserve">Sheet Ringkasan, sel C7 sampai C8</t>
  </si>
  <si>
    <t xml:space="preserve">=SUMIF(Data!$F$2:$F$31;"Tunai";Data!$L$2:$L$31)
=SUMIF(Data!$F$2:$F$31;"Transfer";Data!$L$2:$L$31)</t>
  </si>
  <si>
    <t xml:space="preserve">11</t>
  </si>
  <si>
    <t xml:space="preserve">Pada sheet Acuan, hitung total unit yang terjual untuk tiap barang.</t>
  </si>
  <si>
    <t xml:space="preserve">Sheet Acuan, kolom D (Total Terjual (unit)), baris 2 sampai 7</t>
  </si>
  <si>
    <t xml:space="preserve">=SUMIF(Data!$D$2:$D$31;A2;Data!$E$2:$E$31)</t>
  </si>
  <si>
    <t xml:space="preserve">12</t>
  </si>
  <si>
    <t xml:space="preserve">Barang apa yang paling laris (unit terjual terbanyak)?</t>
  </si>
  <si>
    <t xml:space="preserve">Sheet Ringkasan, sel C9</t>
  </si>
  <si>
    <t xml:space="preserve">=INDEX(Acuan!$B$2:$B$7;MATCH(MAX(Acuan!$D$2:$D$7);Acuan!$D$2:$D$7;0))</t>
  </si>
  <si>
    <t xml:space="preserve">No Faktur</t>
  </si>
  <si>
    <t xml:space="preserve">Tanggal</t>
  </si>
  <si>
    <t xml:space="preserve">Pelanggan</t>
  </si>
  <si>
    <t xml:space="preserve">Kode Barang</t>
  </si>
  <si>
    <t xml:space="preserve">Jumlah</t>
  </si>
  <si>
    <t xml:space="preserve">Metode Bayar</t>
  </si>
  <si>
    <t xml:space="preserve">Nama Barang</t>
  </si>
  <si>
    <t xml:space="preserve">Harga Satuan</t>
  </si>
  <si>
    <t xml:space="preserve">Subtotal</t>
  </si>
  <si>
    <t xml:space="preserve">Diskon</t>
  </si>
  <si>
    <t xml:space="preserve">PPN</t>
  </si>
  <si>
    <t xml:space="preserve">Total Bayar</t>
  </si>
  <si>
    <t xml:space="preserve">Parameter</t>
  </si>
  <si>
    <t xml:space="preserve">Nilai</t>
  </si>
  <si>
    <t xml:space="preserve">Keterangan</t>
  </si>
  <si>
    <t xml:space="preserve">INV-2610-001</t>
  </si>
  <si>
    <t xml:space="preserve">Kedai Pak Joko</t>
  </si>
  <si>
    <t xml:space="preserve">BRG-03</t>
  </si>
  <si>
    <t xml:space="preserve">Transfer</t>
  </si>
  <si>
    <t xml:space="preserve">Batas diskon tingkat 1 (subtotal)</t>
  </si>
  <si>
    <t xml:space="preserve">INV-2610-002</t>
  </si>
  <si>
    <t xml:space="preserve">Kantin Sekolah</t>
  </si>
  <si>
    <t xml:space="preserve">BRG-01</t>
  </si>
  <si>
    <t xml:space="preserve">Tunai</t>
  </si>
  <si>
    <t xml:space="preserve">Diskon tingkat 1</t>
  </si>
  <si>
    <t xml:space="preserve">INV-2610-003</t>
  </si>
  <si>
    <t xml:space="preserve">Koperasi Sejahtera</t>
  </si>
  <si>
    <t xml:space="preserve">Batas diskon tingkat 2 (subtotal)</t>
  </si>
  <si>
    <t xml:space="preserve">INV-2610-004</t>
  </si>
  <si>
    <t xml:space="preserve">Warung Bu Siti</t>
  </si>
  <si>
    <t xml:space="preserve">BRG-04</t>
  </si>
  <si>
    <t xml:space="preserve">Diskon tingkat 2</t>
  </si>
  <si>
    <t xml:space="preserve">INV-2610-005</t>
  </si>
  <si>
    <t xml:space="preserve">Dihitung dari subtotal setelah diskon</t>
  </si>
  <si>
    <t xml:space="preserve">INV-2610-006</t>
  </si>
  <si>
    <t xml:space="preserve">INV-2610-007</t>
  </si>
  <si>
    <t xml:space="preserve">Rumah Makan Selera</t>
  </si>
  <si>
    <t xml:space="preserve">BRG-02</t>
  </si>
  <si>
    <t xml:space="preserve">INV-2610-008</t>
  </si>
  <si>
    <t xml:space="preserve">Toko Barokah</t>
  </si>
  <si>
    <t xml:space="preserve">INV-2610-009</t>
  </si>
  <si>
    <t xml:space="preserve">INV-2610-010</t>
  </si>
  <si>
    <t xml:space="preserve">INV-2610-011</t>
  </si>
  <si>
    <t xml:space="preserve">INV-2610-012</t>
  </si>
  <si>
    <t xml:space="preserve">INV-2610-013</t>
  </si>
  <si>
    <t xml:space="preserve">Katering Dapur Ibu</t>
  </si>
  <si>
    <t xml:space="preserve">INV-2610-014</t>
  </si>
  <si>
    <t xml:space="preserve">BRG-06</t>
  </si>
  <si>
    <t xml:space="preserve">INV-2610-015</t>
  </si>
  <si>
    <t xml:space="preserve">INV-2610-016</t>
  </si>
  <si>
    <t xml:space="preserve">INV-2610-017</t>
  </si>
  <si>
    <t xml:space="preserve">BRG-05</t>
  </si>
  <si>
    <t xml:space="preserve">INV-2610-018</t>
  </si>
  <si>
    <t xml:space="preserve">Mini Market Rezeki</t>
  </si>
  <si>
    <t xml:space="preserve">INV-2610-019</t>
  </si>
  <si>
    <t xml:space="preserve">INV-2610-020</t>
  </si>
  <si>
    <t xml:space="preserve">INV-2610-021</t>
  </si>
  <si>
    <t xml:space="preserve">INV-2610-022</t>
  </si>
  <si>
    <t xml:space="preserve">INV-2610-023</t>
  </si>
  <si>
    <t xml:space="preserve">INV-2610-024</t>
  </si>
  <si>
    <t xml:space="preserve">INV-2610-025</t>
  </si>
  <si>
    <t xml:space="preserve">INV-2610-026</t>
  </si>
  <si>
    <t xml:space="preserve">INV-2610-027</t>
  </si>
  <si>
    <t xml:space="preserve">INV-2610-028</t>
  </si>
  <si>
    <t xml:space="preserve">INV-2610-029</t>
  </si>
  <si>
    <t xml:space="preserve">INV-2610-030</t>
  </si>
  <si>
    <t xml:space="preserve">Total Terjual (unit)</t>
  </si>
  <si>
    <t xml:space="preserve">Beras Premium 5 kg</t>
  </si>
  <si>
    <t xml:space="preserve">Minyak Goreng 2 L</t>
  </si>
  <si>
    <t xml:space="preserve">Gula Pasir 1 kg</t>
  </si>
  <si>
    <t xml:space="preserve">Kopi Bubuk 200 g</t>
  </si>
  <si>
    <t xml:space="preserve">Teh Celup isi 25</t>
  </si>
  <si>
    <t xml:space="preserve">Mi Instan 1 dus</t>
  </si>
  <si>
    <t xml:space="preserve">Ringkasan: lembar jawaban soal berjenis ringkasan</t>
  </si>
  <si>
    <t xml:space="preserve">Sel hijau berisi rumus kunci.</t>
  </si>
  <si>
    <t xml:space="preserve">Pertanyaan</t>
  </si>
  <si>
    <t xml:space="preserve">Jawaban</t>
  </si>
  <si>
    <t xml:space="preserve">Contoh format hasil</t>
  </si>
  <si>
    <t xml:space="preserve">Omzet bulan Oktober</t>
  </si>
  <si>
    <t xml:space="preserve">Rupiah, mis. Rp 42.000.000</t>
  </si>
  <si>
    <t xml:space="preserve">Total diskon yang diberikan</t>
  </si>
  <si>
    <t xml:space="preserve">Rupiah, mis. Rp 1.250.000</t>
  </si>
  <si>
    <t xml:space="preserve">Jumlah faktur yang mendapat diskon</t>
  </si>
  <si>
    <t xml:space="preserve">Angka bulat, mis. 14</t>
  </si>
  <si>
    <t xml:space="preserve">10a</t>
  </si>
  <si>
    <t xml:space="preserve">Omzet pembayaran Tunai</t>
  </si>
  <si>
    <t xml:space="preserve">Rupiah, mis. Rp 21.000.000</t>
  </si>
  <si>
    <t xml:space="preserve">10b</t>
  </si>
  <si>
    <t xml:space="preserve">Omzet pembayaran Transfer</t>
  </si>
  <si>
    <t xml:space="preserve">Nama barang terlaris</t>
  </si>
  <si>
    <t xml:space="preserve">Teks: nama barang</t>
  </si>
</sst>
</file>

<file path=xl/styles.xml><?xml version="1.0" encoding="utf-8"?>
<styleSheet xmlns="http://schemas.openxmlformats.org/spreadsheetml/2006/main">
  <numFmts count="5">
    <numFmt numFmtId="164" formatCode="General"/>
    <numFmt numFmtId="165" formatCode="dd/mm/yyyy"/>
    <numFmt numFmtId="166" formatCode="0"/>
    <numFmt numFmtId="167" formatCode="&quot;Rp &quot;#,##0"/>
    <numFmt numFmtId="168" formatCode="0%"/>
  </numFmts>
  <fonts count="14">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sz val="9"/>
      <name val="Consolas"/>
      <family val="0"/>
      <charset val="1"/>
    </font>
    <font>
      <i val="true"/>
      <sz val="9"/>
      <color rgb="FF595959"/>
      <name val="Arial"/>
      <family val="0"/>
      <charset val="1"/>
    </font>
    <font>
      <b val="true"/>
      <sz val="13"/>
      <color rgb="FF1F4E3D"/>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8" fontId="9" fillId="0"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11" t="s">
        <v>17</v>
      </c>
    </row>
    <row r="19" customFormat="false" ht="15" hidden="false" customHeight="false" outlineLevel="0" collapsed="false">
      <c r="A19" s="3" t="s">
        <v>18</v>
      </c>
    </row>
    <row r="20" customFormat="false" ht="15" hidden="false" customHeight="false" outlineLevel="0" collapsed="false">
      <c r="A20" s="12" t="s">
        <v>19</v>
      </c>
      <c r="B20" s="12" t="s">
        <v>20</v>
      </c>
      <c r="C20" s="12" t="s">
        <v>21</v>
      </c>
      <c r="D20" s="12" t="s">
        <v>22</v>
      </c>
    </row>
    <row r="21" customFormat="false" ht="30" hidden="false" customHeight="true" outlineLevel="0" collapsed="false">
      <c r="A21" s="13" t="s">
        <v>23</v>
      </c>
      <c r="B21" s="14" t="s">
        <v>24</v>
      </c>
      <c r="C21" s="14" t="s">
        <v>25</v>
      </c>
      <c r="D21" s="15" t="s">
        <v>26</v>
      </c>
    </row>
    <row r="22" customFormat="false" ht="30" hidden="false" customHeight="true" outlineLevel="0" collapsed="false">
      <c r="A22" s="13" t="s">
        <v>27</v>
      </c>
      <c r="B22" s="14" t="s">
        <v>28</v>
      </c>
      <c r="C22" s="14" t="s">
        <v>29</v>
      </c>
      <c r="D22" s="15" t="s">
        <v>30</v>
      </c>
    </row>
    <row r="23" customFormat="false" ht="30" hidden="false" customHeight="true" outlineLevel="0" collapsed="false">
      <c r="A23" s="13" t="s">
        <v>31</v>
      </c>
      <c r="B23" s="14" t="s">
        <v>32</v>
      </c>
      <c r="C23" s="14" t="s">
        <v>33</v>
      </c>
      <c r="D23" s="15" t="s">
        <v>34</v>
      </c>
    </row>
    <row r="24" customFormat="false" ht="42" hidden="false" customHeight="true" outlineLevel="0" collapsed="false">
      <c r="A24" s="13" t="s">
        <v>35</v>
      </c>
      <c r="B24" s="14" t="s">
        <v>36</v>
      </c>
      <c r="C24" s="14" t="s">
        <v>37</v>
      </c>
      <c r="D24" s="15" t="s">
        <v>38</v>
      </c>
    </row>
    <row r="25" customFormat="false" ht="30" hidden="false" customHeight="true" outlineLevel="0" collapsed="false">
      <c r="A25" s="13" t="s">
        <v>39</v>
      </c>
      <c r="B25" s="14" t="s">
        <v>40</v>
      </c>
      <c r="C25" s="14" t="s">
        <v>41</v>
      </c>
      <c r="D25" s="15" t="s">
        <v>42</v>
      </c>
    </row>
    <row r="26" customFormat="false" ht="30" hidden="false" customHeight="true" outlineLevel="0" collapsed="false">
      <c r="A26" s="13" t="s">
        <v>43</v>
      </c>
      <c r="B26" s="14" t="s">
        <v>44</v>
      </c>
      <c r="C26" s="14" t="s">
        <v>45</v>
      </c>
      <c r="D26" s="15" t="s">
        <v>46</v>
      </c>
    </row>
    <row r="27" customFormat="false" ht="30" hidden="false" customHeight="true" outlineLevel="0" collapsed="false">
      <c r="A27" s="13" t="s">
        <v>47</v>
      </c>
      <c r="B27" s="14" t="s">
        <v>48</v>
      </c>
      <c r="C27" s="14" t="s">
        <v>49</v>
      </c>
      <c r="D27" s="15" t="s">
        <v>50</v>
      </c>
    </row>
    <row r="28" customFormat="false" ht="30" hidden="false" customHeight="true" outlineLevel="0" collapsed="false">
      <c r="A28" s="13" t="s">
        <v>51</v>
      </c>
      <c r="B28" s="14" t="s">
        <v>52</v>
      </c>
      <c r="C28" s="14" t="s">
        <v>53</v>
      </c>
      <c r="D28" s="15" t="s">
        <v>54</v>
      </c>
    </row>
    <row r="29" customFormat="false" ht="30" hidden="false" customHeight="true" outlineLevel="0" collapsed="false">
      <c r="A29" s="13" t="s">
        <v>55</v>
      </c>
      <c r="B29" s="14" t="s">
        <v>56</v>
      </c>
      <c r="C29" s="14" t="s">
        <v>57</v>
      </c>
      <c r="D29" s="15" t="s">
        <v>58</v>
      </c>
    </row>
    <row r="30" customFormat="false" ht="42" hidden="false" customHeight="true" outlineLevel="0" collapsed="false">
      <c r="A30" s="13" t="s">
        <v>59</v>
      </c>
      <c r="B30" s="14" t="s">
        <v>60</v>
      </c>
      <c r="C30" s="14" t="s">
        <v>61</v>
      </c>
      <c r="D30" s="15" t="s">
        <v>62</v>
      </c>
    </row>
    <row r="31" customFormat="false" ht="30" hidden="false" customHeight="true" outlineLevel="0" collapsed="false">
      <c r="A31" s="13" t="s">
        <v>63</v>
      </c>
      <c r="B31" s="14" t="s">
        <v>64</v>
      </c>
      <c r="C31" s="14" t="s">
        <v>65</v>
      </c>
      <c r="D31" s="15" t="s">
        <v>66</v>
      </c>
    </row>
    <row r="32" customFormat="false" ht="30" hidden="false" customHeight="true" outlineLevel="0" collapsed="false">
      <c r="A32" s="13" t="s">
        <v>67</v>
      </c>
      <c r="B32" s="14" t="s">
        <v>68</v>
      </c>
      <c r="C32" s="14" t="s">
        <v>69</v>
      </c>
      <c r="D32" s="15" t="s">
        <v>70</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22"/>
    <col collapsed="false" customWidth="true" hidden="false" outlineLevel="0" max="4" min="4" style="0" width="12"/>
    <col collapsed="false" customWidth="true" hidden="false" outlineLevel="0" max="5" min="5" style="0" width="9"/>
    <col collapsed="false" customWidth="true" hidden="false" outlineLevel="0" max="6" min="6" style="0" width="12"/>
    <col collapsed="false" customWidth="true" hidden="false" outlineLevel="0" max="7" min="7" style="0" width="22"/>
    <col collapsed="false" customWidth="true" hidden="false" outlineLevel="0" max="8" min="8" style="0" width="13"/>
    <col collapsed="false" customWidth="true" hidden="false" outlineLevel="0" max="9" min="9" style="0" width="14"/>
    <col collapsed="false" customWidth="true" hidden="false" outlineLevel="0" max="11" min="10" style="0" width="13"/>
    <col collapsed="false" customWidth="true" hidden="false" outlineLevel="0" max="12" min="12" style="0" width="15"/>
    <col collapsed="false" customWidth="true" hidden="false" outlineLevel="0" max="13" min="13" style="0" width="3"/>
    <col collapsed="false" customWidth="true" hidden="false" outlineLevel="0" max="14" min="14" style="0" width="30"/>
    <col collapsed="false" customWidth="true" hidden="false" outlineLevel="0" max="15" min="15" style="0" width="16"/>
    <col collapsed="false" customWidth="true" hidden="false" outlineLevel="0" max="16" min="16" style="0" width="42"/>
  </cols>
  <sheetData>
    <row r="1" customFormat="false" ht="33.75" hidden="false" customHeight="true" outlineLevel="0" collapsed="false">
      <c r="A1" s="12" t="s">
        <v>71</v>
      </c>
      <c r="B1" s="12" t="s">
        <v>72</v>
      </c>
      <c r="C1" s="12" t="s">
        <v>73</v>
      </c>
      <c r="D1" s="12" t="s">
        <v>74</v>
      </c>
      <c r="E1" s="12" t="s">
        <v>75</v>
      </c>
      <c r="F1" s="12" t="s">
        <v>76</v>
      </c>
      <c r="G1" s="16" t="s">
        <v>77</v>
      </c>
      <c r="H1" s="16" t="s">
        <v>78</v>
      </c>
      <c r="I1" s="16" t="s">
        <v>79</v>
      </c>
      <c r="J1" s="16" t="s">
        <v>80</v>
      </c>
      <c r="K1" s="16" t="s">
        <v>81</v>
      </c>
      <c r="L1" s="16" t="s">
        <v>82</v>
      </c>
      <c r="N1" s="17" t="s">
        <v>83</v>
      </c>
      <c r="O1" s="17" t="s">
        <v>84</v>
      </c>
      <c r="P1" s="17" t="s">
        <v>85</v>
      </c>
    </row>
    <row r="2" customFormat="false" ht="15" hidden="false" customHeight="false" outlineLevel="0" collapsed="false">
      <c r="A2" s="18" t="s">
        <v>86</v>
      </c>
      <c r="B2" s="19" t="n">
        <v>46296</v>
      </c>
      <c r="C2" s="18" t="s">
        <v>87</v>
      </c>
      <c r="D2" s="18" t="s">
        <v>88</v>
      </c>
      <c r="E2" s="20" t="n">
        <v>32</v>
      </c>
      <c r="F2" s="18" t="s">
        <v>89</v>
      </c>
      <c r="G2" s="21" t="str">
        <f aca="false">VLOOKUP(D2,Acuan!$A$2:$C$7,2,FALSE())</f>
        <v>Gula Pasir 1 kg</v>
      </c>
      <c r="H2" s="22" t="n">
        <f aca="false">VLOOKUP(D2,Acuan!$A$2:$C$7,3,FALSE())</f>
        <v>17000</v>
      </c>
      <c r="I2" s="22" t="n">
        <f aca="false">E2*H2</f>
        <v>544000</v>
      </c>
      <c r="J2" s="22" t="n">
        <f aca="false">ROUND(I2*IF(I2&gt;=$O$4,$O$5,IF(I2&gt;=$O$2,$O$3,0)),0)</f>
        <v>10880</v>
      </c>
      <c r="K2" s="22" t="n">
        <f aca="false">ROUND((I2-J2)*$O$6,0)</f>
        <v>58643</v>
      </c>
      <c r="L2" s="22" t="n">
        <f aca="false">I2-J2+K2</f>
        <v>591763</v>
      </c>
      <c r="N2" s="23" t="s">
        <v>90</v>
      </c>
      <c r="O2" s="24" t="n">
        <v>500000</v>
      </c>
      <c r="P2" s="25"/>
    </row>
    <row r="3" customFormat="false" ht="15" hidden="false" customHeight="false" outlineLevel="0" collapsed="false">
      <c r="A3" s="18" t="s">
        <v>91</v>
      </c>
      <c r="B3" s="19" t="n">
        <v>46296</v>
      </c>
      <c r="C3" s="18" t="s">
        <v>92</v>
      </c>
      <c r="D3" s="18" t="s">
        <v>93</v>
      </c>
      <c r="E3" s="20" t="n">
        <v>30</v>
      </c>
      <c r="F3" s="18" t="s">
        <v>94</v>
      </c>
      <c r="G3" s="21" t="str">
        <f aca="false">VLOOKUP(D3,Acuan!$A$2:$C$7,2,FALSE())</f>
        <v>Beras Premium 5 kg</v>
      </c>
      <c r="H3" s="22" t="n">
        <f aca="false">VLOOKUP(D3,Acuan!$A$2:$C$7,3,FALSE())</f>
        <v>68000</v>
      </c>
      <c r="I3" s="22" t="n">
        <f aca="false">E3*H3</f>
        <v>2040000</v>
      </c>
      <c r="J3" s="22" t="n">
        <f aca="false">ROUND(I3*IF(I3&gt;=$O$4,$O$5,IF(I3&gt;=$O$2,$O$3,0)),0)</f>
        <v>102000</v>
      </c>
      <c r="K3" s="22" t="n">
        <f aca="false">ROUND((I3-J3)*$O$6,0)</f>
        <v>213180</v>
      </c>
      <c r="L3" s="22" t="n">
        <f aca="false">I3-J3+K3</f>
        <v>2151180</v>
      </c>
      <c r="N3" s="23" t="s">
        <v>95</v>
      </c>
      <c r="O3" s="26" t="n">
        <v>0.02</v>
      </c>
      <c r="P3" s="25"/>
    </row>
    <row r="4" customFormat="false" ht="15" hidden="false" customHeight="false" outlineLevel="0" collapsed="false">
      <c r="A4" s="18" t="s">
        <v>96</v>
      </c>
      <c r="B4" s="19" t="n">
        <v>46296</v>
      </c>
      <c r="C4" s="18" t="s">
        <v>97</v>
      </c>
      <c r="D4" s="18" t="s">
        <v>88</v>
      </c>
      <c r="E4" s="20" t="n">
        <v>33</v>
      </c>
      <c r="F4" s="18" t="s">
        <v>94</v>
      </c>
      <c r="G4" s="21" t="str">
        <f aca="false">VLOOKUP(D4,Acuan!$A$2:$C$7,2,FALSE())</f>
        <v>Gula Pasir 1 kg</v>
      </c>
      <c r="H4" s="22" t="n">
        <f aca="false">VLOOKUP(D4,Acuan!$A$2:$C$7,3,FALSE())</f>
        <v>17000</v>
      </c>
      <c r="I4" s="22" t="n">
        <f aca="false">E4*H4</f>
        <v>561000</v>
      </c>
      <c r="J4" s="22" t="n">
        <f aca="false">ROUND(I4*IF(I4&gt;=$O$4,$O$5,IF(I4&gt;=$O$2,$O$3,0)),0)</f>
        <v>11220</v>
      </c>
      <c r="K4" s="22" t="n">
        <f aca="false">ROUND((I4-J4)*$O$6,0)</f>
        <v>60476</v>
      </c>
      <c r="L4" s="22" t="n">
        <f aca="false">I4-J4+K4</f>
        <v>610256</v>
      </c>
      <c r="N4" s="23" t="s">
        <v>98</v>
      </c>
      <c r="O4" s="24" t="n">
        <v>1000000</v>
      </c>
      <c r="P4" s="25"/>
    </row>
    <row r="5" customFormat="false" ht="15" hidden="false" customHeight="false" outlineLevel="0" collapsed="false">
      <c r="A5" s="18" t="s">
        <v>99</v>
      </c>
      <c r="B5" s="19" t="n">
        <v>46297</v>
      </c>
      <c r="C5" s="18" t="s">
        <v>100</v>
      </c>
      <c r="D5" s="18" t="s">
        <v>101</v>
      </c>
      <c r="E5" s="20" t="n">
        <v>30</v>
      </c>
      <c r="F5" s="18" t="s">
        <v>89</v>
      </c>
      <c r="G5" s="21" t="str">
        <f aca="false">VLOOKUP(D5,Acuan!$A$2:$C$7,2,FALSE())</f>
        <v>Kopi Bubuk 200 g</v>
      </c>
      <c r="H5" s="22" t="n">
        <f aca="false">VLOOKUP(D5,Acuan!$A$2:$C$7,3,FALSE())</f>
        <v>24000</v>
      </c>
      <c r="I5" s="22" t="n">
        <f aca="false">E5*H5</f>
        <v>720000</v>
      </c>
      <c r="J5" s="22" t="n">
        <f aca="false">ROUND(I5*IF(I5&gt;=$O$4,$O$5,IF(I5&gt;=$O$2,$O$3,0)),0)</f>
        <v>14400</v>
      </c>
      <c r="K5" s="22" t="n">
        <f aca="false">ROUND((I5-J5)*$O$6,0)</f>
        <v>77616</v>
      </c>
      <c r="L5" s="22" t="n">
        <f aca="false">I5-J5+K5</f>
        <v>783216</v>
      </c>
      <c r="N5" s="23" t="s">
        <v>102</v>
      </c>
      <c r="O5" s="26" t="n">
        <v>0.05</v>
      </c>
      <c r="P5" s="25"/>
    </row>
    <row r="6" customFormat="false" ht="15" hidden="false" customHeight="false" outlineLevel="0" collapsed="false">
      <c r="A6" s="18" t="s">
        <v>103</v>
      </c>
      <c r="B6" s="19" t="n">
        <v>46298</v>
      </c>
      <c r="C6" s="18" t="s">
        <v>100</v>
      </c>
      <c r="D6" s="18" t="s">
        <v>101</v>
      </c>
      <c r="E6" s="20" t="n">
        <v>26</v>
      </c>
      <c r="F6" s="18" t="s">
        <v>94</v>
      </c>
      <c r="G6" s="21" t="str">
        <f aca="false">VLOOKUP(D6,Acuan!$A$2:$C$7,2,FALSE())</f>
        <v>Kopi Bubuk 200 g</v>
      </c>
      <c r="H6" s="22" t="n">
        <f aca="false">VLOOKUP(D6,Acuan!$A$2:$C$7,3,FALSE())</f>
        <v>24000</v>
      </c>
      <c r="I6" s="22" t="n">
        <f aca="false">E6*H6</f>
        <v>624000</v>
      </c>
      <c r="J6" s="22" t="n">
        <f aca="false">ROUND(I6*IF(I6&gt;=$O$4,$O$5,IF(I6&gt;=$O$2,$O$3,0)),0)</f>
        <v>12480</v>
      </c>
      <c r="K6" s="22" t="n">
        <f aca="false">ROUND((I6-J6)*$O$6,0)</f>
        <v>67267</v>
      </c>
      <c r="L6" s="22" t="n">
        <f aca="false">I6-J6+K6</f>
        <v>678787</v>
      </c>
      <c r="N6" s="23" t="s">
        <v>81</v>
      </c>
      <c r="O6" s="26" t="n">
        <v>0.11</v>
      </c>
      <c r="P6" s="25" t="s">
        <v>104</v>
      </c>
    </row>
    <row r="7" customFormat="false" ht="15" hidden="false" customHeight="false" outlineLevel="0" collapsed="false">
      <c r="A7" s="18" t="s">
        <v>105</v>
      </c>
      <c r="B7" s="19" t="n">
        <v>46300</v>
      </c>
      <c r="C7" s="18" t="s">
        <v>100</v>
      </c>
      <c r="D7" s="18" t="s">
        <v>88</v>
      </c>
      <c r="E7" s="20" t="n">
        <v>4</v>
      </c>
      <c r="F7" s="18" t="s">
        <v>89</v>
      </c>
      <c r="G7" s="21" t="str">
        <f aca="false">VLOOKUP(D7,Acuan!$A$2:$C$7,2,FALSE())</f>
        <v>Gula Pasir 1 kg</v>
      </c>
      <c r="H7" s="22" t="n">
        <f aca="false">VLOOKUP(D7,Acuan!$A$2:$C$7,3,FALSE())</f>
        <v>17000</v>
      </c>
      <c r="I7" s="22" t="n">
        <f aca="false">E7*H7</f>
        <v>68000</v>
      </c>
      <c r="J7" s="22" t="n">
        <f aca="false">ROUND(I7*IF(I7&gt;=$O$4,$O$5,IF(I7&gt;=$O$2,$O$3,0)),0)</f>
        <v>0</v>
      </c>
      <c r="K7" s="22" t="n">
        <f aca="false">ROUND((I7-J7)*$O$6,0)</f>
        <v>7480</v>
      </c>
      <c r="L7" s="22" t="n">
        <f aca="false">I7-J7+K7</f>
        <v>75480</v>
      </c>
    </row>
    <row r="8" customFormat="false" ht="15" hidden="false" customHeight="false" outlineLevel="0" collapsed="false">
      <c r="A8" s="18" t="s">
        <v>106</v>
      </c>
      <c r="B8" s="19" t="n">
        <v>46300</v>
      </c>
      <c r="C8" s="18" t="s">
        <v>107</v>
      </c>
      <c r="D8" s="18" t="s">
        <v>108</v>
      </c>
      <c r="E8" s="20" t="n">
        <v>32</v>
      </c>
      <c r="F8" s="18" t="s">
        <v>89</v>
      </c>
      <c r="G8" s="21" t="str">
        <f aca="false">VLOOKUP(D8,Acuan!$A$2:$C$7,2,FALSE())</f>
        <v>Minyak Goreng 2 L</v>
      </c>
      <c r="H8" s="22" t="n">
        <f aca="false">VLOOKUP(D8,Acuan!$A$2:$C$7,3,FALSE())</f>
        <v>38000</v>
      </c>
      <c r="I8" s="22" t="n">
        <f aca="false">E8*H8</f>
        <v>1216000</v>
      </c>
      <c r="J8" s="22" t="n">
        <f aca="false">ROUND(I8*IF(I8&gt;=$O$4,$O$5,IF(I8&gt;=$O$2,$O$3,0)),0)</f>
        <v>60800</v>
      </c>
      <c r="K8" s="22" t="n">
        <f aca="false">ROUND((I8-J8)*$O$6,0)</f>
        <v>127072</v>
      </c>
      <c r="L8" s="22" t="n">
        <f aca="false">I8-J8+K8</f>
        <v>1282272</v>
      </c>
    </row>
    <row r="9" customFormat="false" ht="15" hidden="false" customHeight="false" outlineLevel="0" collapsed="false">
      <c r="A9" s="18" t="s">
        <v>109</v>
      </c>
      <c r="B9" s="19" t="n">
        <v>46302</v>
      </c>
      <c r="C9" s="18" t="s">
        <v>110</v>
      </c>
      <c r="D9" s="18" t="s">
        <v>108</v>
      </c>
      <c r="E9" s="20" t="n">
        <v>26</v>
      </c>
      <c r="F9" s="18" t="s">
        <v>94</v>
      </c>
      <c r="G9" s="21" t="str">
        <f aca="false">VLOOKUP(D9,Acuan!$A$2:$C$7,2,FALSE())</f>
        <v>Minyak Goreng 2 L</v>
      </c>
      <c r="H9" s="22" t="n">
        <f aca="false">VLOOKUP(D9,Acuan!$A$2:$C$7,3,FALSE())</f>
        <v>38000</v>
      </c>
      <c r="I9" s="22" t="n">
        <f aca="false">E9*H9</f>
        <v>988000</v>
      </c>
      <c r="J9" s="22" t="n">
        <f aca="false">ROUND(I9*IF(I9&gt;=$O$4,$O$5,IF(I9&gt;=$O$2,$O$3,0)),0)</f>
        <v>19760</v>
      </c>
      <c r="K9" s="22" t="n">
        <f aca="false">ROUND((I9-J9)*$O$6,0)</f>
        <v>106506</v>
      </c>
      <c r="L9" s="22" t="n">
        <f aca="false">I9-J9+K9</f>
        <v>1074746</v>
      </c>
    </row>
    <row r="10" customFormat="false" ht="15" hidden="false" customHeight="false" outlineLevel="0" collapsed="false">
      <c r="A10" s="18" t="s">
        <v>111</v>
      </c>
      <c r="B10" s="19" t="n">
        <v>46302</v>
      </c>
      <c r="C10" s="18" t="s">
        <v>97</v>
      </c>
      <c r="D10" s="18" t="s">
        <v>108</v>
      </c>
      <c r="E10" s="20" t="n">
        <v>32</v>
      </c>
      <c r="F10" s="18" t="s">
        <v>89</v>
      </c>
      <c r="G10" s="21" t="str">
        <f aca="false">VLOOKUP(D10,Acuan!$A$2:$C$7,2,FALSE())</f>
        <v>Minyak Goreng 2 L</v>
      </c>
      <c r="H10" s="22" t="n">
        <f aca="false">VLOOKUP(D10,Acuan!$A$2:$C$7,3,FALSE())</f>
        <v>38000</v>
      </c>
      <c r="I10" s="22" t="n">
        <f aca="false">E10*H10</f>
        <v>1216000</v>
      </c>
      <c r="J10" s="22" t="n">
        <f aca="false">ROUND(I10*IF(I10&gt;=$O$4,$O$5,IF(I10&gt;=$O$2,$O$3,0)),0)</f>
        <v>60800</v>
      </c>
      <c r="K10" s="22" t="n">
        <f aca="false">ROUND((I10-J10)*$O$6,0)</f>
        <v>127072</v>
      </c>
      <c r="L10" s="22" t="n">
        <f aca="false">I10-J10+K10</f>
        <v>1282272</v>
      </c>
    </row>
    <row r="11" customFormat="false" ht="15" hidden="false" customHeight="false" outlineLevel="0" collapsed="false">
      <c r="A11" s="18" t="s">
        <v>112</v>
      </c>
      <c r="B11" s="19" t="n">
        <v>46303</v>
      </c>
      <c r="C11" s="18" t="s">
        <v>87</v>
      </c>
      <c r="D11" s="18" t="s">
        <v>101</v>
      </c>
      <c r="E11" s="20" t="n">
        <v>17</v>
      </c>
      <c r="F11" s="18" t="s">
        <v>89</v>
      </c>
      <c r="G11" s="21" t="str">
        <f aca="false">VLOOKUP(D11,Acuan!$A$2:$C$7,2,FALSE())</f>
        <v>Kopi Bubuk 200 g</v>
      </c>
      <c r="H11" s="22" t="n">
        <f aca="false">VLOOKUP(D11,Acuan!$A$2:$C$7,3,FALSE())</f>
        <v>24000</v>
      </c>
      <c r="I11" s="22" t="n">
        <f aca="false">E11*H11</f>
        <v>408000</v>
      </c>
      <c r="J11" s="22" t="n">
        <f aca="false">ROUND(I11*IF(I11&gt;=$O$4,$O$5,IF(I11&gt;=$O$2,$O$3,0)),0)</f>
        <v>0</v>
      </c>
      <c r="K11" s="22" t="n">
        <f aca="false">ROUND((I11-J11)*$O$6,0)</f>
        <v>44880</v>
      </c>
      <c r="L11" s="22" t="n">
        <f aca="false">I11-J11+K11</f>
        <v>452880</v>
      </c>
    </row>
    <row r="12" customFormat="false" ht="15" hidden="false" customHeight="false" outlineLevel="0" collapsed="false">
      <c r="A12" s="18" t="s">
        <v>113</v>
      </c>
      <c r="B12" s="19" t="n">
        <v>46303</v>
      </c>
      <c r="C12" s="18" t="s">
        <v>100</v>
      </c>
      <c r="D12" s="18" t="s">
        <v>108</v>
      </c>
      <c r="E12" s="20" t="n">
        <v>6</v>
      </c>
      <c r="F12" s="18" t="s">
        <v>94</v>
      </c>
      <c r="G12" s="21" t="str">
        <f aca="false">VLOOKUP(D12,Acuan!$A$2:$C$7,2,FALSE())</f>
        <v>Minyak Goreng 2 L</v>
      </c>
      <c r="H12" s="22" t="n">
        <f aca="false">VLOOKUP(D12,Acuan!$A$2:$C$7,3,FALSE())</f>
        <v>38000</v>
      </c>
      <c r="I12" s="22" t="n">
        <f aca="false">E12*H12</f>
        <v>228000</v>
      </c>
      <c r="J12" s="22" t="n">
        <f aca="false">ROUND(I12*IF(I12&gt;=$O$4,$O$5,IF(I12&gt;=$O$2,$O$3,0)),0)</f>
        <v>0</v>
      </c>
      <c r="K12" s="22" t="n">
        <f aca="false">ROUND((I12-J12)*$O$6,0)</f>
        <v>25080</v>
      </c>
      <c r="L12" s="22" t="n">
        <f aca="false">I12-J12+K12</f>
        <v>253080</v>
      </c>
    </row>
    <row r="13" customFormat="false" ht="15" hidden="false" customHeight="false" outlineLevel="0" collapsed="false">
      <c r="A13" s="18" t="s">
        <v>114</v>
      </c>
      <c r="B13" s="19" t="n">
        <v>46304</v>
      </c>
      <c r="C13" s="18" t="s">
        <v>97</v>
      </c>
      <c r="D13" s="18" t="s">
        <v>108</v>
      </c>
      <c r="E13" s="20" t="n">
        <v>34</v>
      </c>
      <c r="F13" s="18" t="s">
        <v>94</v>
      </c>
      <c r="G13" s="21" t="str">
        <f aca="false">VLOOKUP(D13,Acuan!$A$2:$C$7,2,FALSE())</f>
        <v>Minyak Goreng 2 L</v>
      </c>
      <c r="H13" s="22" t="n">
        <f aca="false">VLOOKUP(D13,Acuan!$A$2:$C$7,3,FALSE())</f>
        <v>38000</v>
      </c>
      <c r="I13" s="22" t="n">
        <f aca="false">E13*H13</f>
        <v>1292000</v>
      </c>
      <c r="J13" s="22" t="n">
        <f aca="false">ROUND(I13*IF(I13&gt;=$O$4,$O$5,IF(I13&gt;=$O$2,$O$3,0)),0)</f>
        <v>64600</v>
      </c>
      <c r="K13" s="22" t="n">
        <f aca="false">ROUND((I13-J13)*$O$6,0)</f>
        <v>135014</v>
      </c>
      <c r="L13" s="22" t="n">
        <f aca="false">I13-J13+K13</f>
        <v>1362414</v>
      </c>
    </row>
    <row r="14" customFormat="false" ht="15" hidden="false" customHeight="false" outlineLevel="0" collapsed="false">
      <c r="A14" s="18" t="s">
        <v>115</v>
      </c>
      <c r="B14" s="19" t="n">
        <v>46304</v>
      </c>
      <c r="C14" s="18" t="s">
        <v>116</v>
      </c>
      <c r="D14" s="18" t="s">
        <v>101</v>
      </c>
      <c r="E14" s="20" t="n">
        <v>36</v>
      </c>
      <c r="F14" s="18" t="s">
        <v>94</v>
      </c>
      <c r="G14" s="21" t="str">
        <f aca="false">VLOOKUP(D14,Acuan!$A$2:$C$7,2,FALSE())</f>
        <v>Kopi Bubuk 200 g</v>
      </c>
      <c r="H14" s="22" t="n">
        <f aca="false">VLOOKUP(D14,Acuan!$A$2:$C$7,3,FALSE())</f>
        <v>24000</v>
      </c>
      <c r="I14" s="22" t="n">
        <f aca="false">E14*H14</f>
        <v>864000</v>
      </c>
      <c r="J14" s="22" t="n">
        <f aca="false">ROUND(I14*IF(I14&gt;=$O$4,$O$5,IF(I14&gt;=$O$2,$O$3,0)),0)</f>
        <v>17280</v>
      </c>
      <c r="K14" s="22" t="n">
        <f aca="false">ROUND((I14-J14)*$O$6,0)</f>
        <v>93139</v>
      </c>
      <c r="L14" s="22" t="n">
        <f aca="false">I14-J14+K14</f>
        <v>939859</v>
      </c>
    </row>
    <row r="15" customFormat="false" ht="15" hidden="false" customHeight="false" outlineLevel="0" collapsed="false">
      <c r="A15" s="18" t="s">
        <v>117</v>
      </c>
      <c r="B15" s="19" t="n">
        <v>46304</v>
      </c>
      <c r="C15" s="18" t="s">
        <v>107</v>
      </c>
      <c r="D15" s="18" t="s">
        <v>118</v>
      </c>
      <c r="E15" s="20" t="n">
        <v>33</v>
      </c>
      <c r="F15" s="18" t="s">
        <v>94</v>
      </c>
      <c r="G15" s="21" t="str">
        <f aca="false">VLOOKUP(D15,Acuan!$A$2:$C$7,2,FALSE())</f>
        <v>Mi Instan 1 dus</v>
      </c>
      <c r="H15" s="22" t="n">
        <f aca="false">VLOOKUP(D15,Acuan!$A$2:$C$7,3,FALSE())</f>
        <v>105000</v>
      </c>
      <c r="I15" s="22" t="n">
        <f aca="false">E15*H15</f>
        <v>3465000</v>
      </c>
      <c r="J15" s="22" t="n">
        <f aca="false">ROUND(I15*IF(I15&gt;=$O$4,$O$5,IF(I15&gt;=$O$2,$O$3,0)),0)</f>
        <v>173250</v>
      </c>
      <c r="K15" s="22" t="n">
        <f aca="false">ROUND((I15-J15)*$O$6,0)</f>
        <v>362093</v>
      </c>
      <c r="L15" s="22" t="n">
        <f aca="false">I15-J15+K15</f>
        <v>3653843</v>
      </c>
    </row>
    <row r="16" customFormat="false" ht="15" hidden="false" customHeight="false" outlineLevel="0" collapsed="false">
      <c r="A16" s="18" t="s">
        <v>119</v>
      </c>
      <c r="B16" s="19" t="n">
        <v>46304</v>
      </c>
      <c r="C16" s="18" t="s">
        <v>110</v>
      </c>
      <c r="D16" s="18" t="s">
        <v>108</v>
      </c>
      <c r="E16" s="20" t="n">
        <v>4</v>
      </c>
      <c r="F16" s="18" t="s">
        <v>94</v>
      </c>
      <c r="G16" s="21" t="str">
        <f aca="false">VLOOKUP(D16,Acuan!$A$2:$C$7,2,FALSE())</f>
        <v>Minyak Goreng 2 L</v>
      </c>
      <c r="H16" s="22" t="n">
        <f aca="false">VLOOKUP(D16,Acuan!$A$2:$C$7,3,FALSE())</f>
        <v>38000</v>
      </c>
      <c r="I16" s="22" t="n">
        <f aca="false">E16*H16</f>
        <v>152000</v>
      </c>
      <c r="J16" s="22" t="n">
        <f aca="false">ROUND(I16*IF(I16&gt;=$O$4,$O$5,IF(I16&gt;=$O$2,$O$3,0)),0)</f>
        <v>0</v>
      </c>
      <c r="K16" s="22" t="n">
        <f aca="false">ROUND((I16-J16)*$O$6,0)</f>
        <v>16720</v>
      </c>
      <c r="L16" s="22" t="n">
        <f aca="false">I16-J16+K16</f>
        <v>168720</v>
      </c>
    </row>
    <row r="17" customFormat="false" ht="15" hidden="false" customHeight="false" outlineLevel="0" collapsed="false">
      <c r="A17" s="18" t="s">
        <v>120</v>
      </c>
      <c r="B17" s="19" t="n">
        <v>46304</v>
      </c>
      <c r="C17" s="18" t="s">
        <v>92</v>
      </c>
      <c r="D17" s="18" t="s">
        <v>88</v>
      </c>
      <c r="E17" s="20" t="n">
        <v>9</v>
      </c>
      <c r="F17" s="18" t="s">
        <v>89</v>
      </c>
      <c r="G17" s="21" t="str">
        <f aca="false">VLOOKUP(D17,Acuan!$A$2:$C$7,2,FALSE())</f>
        <v>Gula Pasir 1 kg</v>
      </c>
      <c r="H17" s="22" t="n">
        <f aca="false">VLOOKUP(D17,Acuan!$A$2:$C$7,3,FALSE())</f>
        <v>17000</v>
      </c>
      <c r="I17" s="22" t="n">
        <f aca="false">E17*H17</f>
        <v>153000</v>
      </c>
      <c r="J17" s="22" t="n">
        <f aca="false">ROUND(I17*IF(I17&gt;=$O$4,$O$5,IF(I17&gt;=$O$2,$O$3,0)),0)</f>
        <v>0</v>
      </c>
      <c r="K17" s="22" t="n">
        <f aca="false">ROUND((I17-J17)*$O$6,0)</f>
        <v>16830</v>
      </c>
      <c r="L17" s="22" t="n">
        <f aca="false">I17-J17+K17</f>
        <v>169830</v>
      </c>
    </row>
    <row r="18" customFormat="false" ht="15" hidden="false" customHeight="false" outlineLevel="0" collapsed="false">
      <c r="A18" s="18" t="s">
        <v>121</v>
      </c>
      <c r="B18" s="19" t="n">
        <v>46304</v>
      </c>
      <c r="C18" s="18" t="s">
        <v>97</v>
      </c>
      <c r="D18" s="18" t="s">
        <v>122</v>
      </c>
      <c r="E18" s="20" t="n">
        <v>9</v>
      </c>
      <c r="F18" s="18" t="s">
        <v>89</v>
      </c>
      <c r="G18" s="21" t="str">
        <f aca="false">VLOOKUP(D18,Acuan!$A$2:$C$7,2,FALSE())</f>
        <v>Teh Celup isi 25</v>
      </c>
      <c r="H18" s="22" t="n">
        <f aca="false">VLOOKUP(D18,Acuan!$A$2:$C$7,3,FALSE())</f>
        <v>12000</v>
      </c>
      <c r="I18" s="22" t="n">
        <f aca="false">E18*H18</f>
        <v>108000</v>
      </c>
      <c r="J18" s="22" t="n">
        <f aca="false">ROUND(I18*IF(I18&gt;=$O$4,$O$5,IF(I18&gt;=$O$2,$O$3,0)),0)</f>
        <v>0</v>
      </c>
      <c r="K18" s="22" t="n">
        <f aca="false">ROUND((I18-J18)*$O$6,0)</f>
        <v>11880</v>
      </c>
      <c r="L18" s="22" t="n">
        <f aca="false">I18-J18+K18</f>
        <v>119880</v>
      </c>
    </row>
    <row r="19" customFormat="false" ht="15" hidden="false" customHeight="false" outlineLevel="0" collapsed="false">
      <c r="A19" s="18" t="s">
        <v>123</v>
      </c>
      <c r="B19" s="19" t="n">
        <v>46305</v>
      </c>
      <c r="C19" s="18" t="s">
        <v>124</v>
      </c>
      <c r="D19" s="18" t="s">
        <v>122</v>
      </c>
      <c r="E19" s="20" t="n">
        <v>29</v>
      </c>
      <c r="F19" s="18" t="s">
        <v>94</v>
      </c>
      <c r="G19" s="21" t="str">
        <f aca="false">VLOOKUP(D19,Acuan!$A$2:$C$7,2,FALSE())</f>
        <v>Teh Celup isi 25</v>
      </c>
      <c r="H19" s="22" t="n">
        <f aca="false">VLOOKUP(D19,Acuan!$A$2:$C$7,3,FALSE())</f>
        <v>12000</v>
      </c>
      <c r="I19" s="22" t="n">
        <f aca="false">E19*H19</f>
        <v>348000</v>
      </c>
      <c r="J19" s="22" t="n">
        <f aca="false">ROUND(I19*IF(I19&gt;=$O$4,$O$5,IF(I19&gt;=$O$2,$O$3,0)),0)</f>
        <v>0</v>
      </c>
      <c r="K19" s="22" t="n">
        <f aca="false">ROUND((I19-J19)*$O$6,0)</f>
        <v>38280</v>
      </c>
      <c r="L19" s="22" t="n">
        <f aca="false">I19-J19+K19</f>
        <v>386280</v>
      </c>
    </row>
    <row r="20" customFormat="false" ht="15" hidden="false" customHeight="false" outlineLevel="0" collapsed="false">
      <c r="A20" s="18" t="s">
        <v>125</v>
      </c>
      <c r="B20" s="19" t="n">
        <v>46306</v>
      </c>
      <c r="C20" s="18" t="s">
        <v>116</v>
      </c>
      <c r="D20" s="18" t="s">
        <v>93</v>
      </c>
      <c r="E20" s="20" t="n">
        <v>2</v>
      </c>
      <c r="F20" s="18" t="s">
        <v>94</v>
      </c>
      <c r="G20" s="21" t="str">
        <f aca="false">VLOOKUP(D20,Acuan!$A$2:$C$7,2,FALSE())</f>
        <v>Beras Premium 5 kg</v>
      </c>
      <c r="H20" s="22" t="n">
        <f aca="false">VLOOKUP(D20,Acuan!$A$2:$C$7,3,FALSE())</f>
        <v>68000</v>
      </c>
      <c r="I20" s="22" t="n">
        <f aca="false">E20*H20</f>
        <v>136000</v>
      </c>
      <c r="J20" s="22" t="n">
        <f aca="false">ROUND(I20*IF(I20&gt;=$O$4,$O$5,IF(I20&gt;=$O$2,$O$3,0)),0)</f>
        <v>0</v>
      </c>
      <c r="K20" s="22" t="n">
        <f aca="false">ROUND((I20-J20)*$O$6,0)</f>
        <v>14960</v>
      </c>
      <c r="L20" s="22" t="n">
        <f aca="false">I20-J20+K20</f>
        <v>150960</v>
      </c>
    </row>
    <row r="21" customFormat="false" ht="15" hidden="false" customHeight="false" outlineLevel="0" collapsed="false">
      <c r="A21" s="18" t="s">
        <v>126</v>
      </c>
      <c r="B21" s="19" t="n">
        <v>46306</v>
      </c>
      <c r="C21" s="18" t="s">
        <v>110</v>
      </c>
      <c r="D21" s="18" t="s">
        <v>88</v>
      </c>
      <c r="E21" s="20" t="n">
        <v>6</v>
      </c>
      <c r="F21" s="18" t="s">
        <v>89</v>
      </c>
      <c r="G21" s="21" t="str">
        <f aca="false">VLOOKUP(D21,Acuan!$A$2:$C$7,2,FALSE())</f>
        <v>Gula Pasir 1 kg</v>
      </c>
      <c r="H21" s="22" t="n">
        <f aca="false">VLOOKUP(D21,Acuan!$A$2:$C$7,3,FALSE())</f>
        <v>17000</v>
      </c>
      <c r="I21" s="22" t="n">
        <f aca="false">E21*H21</f>
        <v>102000</v>
      </c>
      <c r="J21" s="22" t="n">
        <f aca="false">ROUND(I21*IF(I21&gt;=$O$4,$O$5,IF(I21&gt;=$O$2,$O$3,0)),0)</f>
        <v>0</v>
      </c>
      <c r="K21" s="22" t="n">
        <f aca="false">ROUND((I21-J21)*$O$6,0)</f>
        <v>11220</v>
      </c>
      <c r="L21" s="22" t="n">
        <f aca="false">I21-J21+K21</f>
        <v>113220</v>
      </c>
    </row>
    <row r="22" customFormat="false" ht="15" hidden="false" customHeight="false" outlineLevel="0" collapsed="false">
      <c r="A22" s="18" t="s">
        <v>127</v>
      </c>
      <c r="B22" s="19" t="n">
        <v>46308</v>
      </c>
      <c r="C22" s="18" t="s">
        <v>100</v>
      </c>
      <c r="D22" s="18" t="s">
        <v>122</v>
      </c>
      <c r="E22" s="20" t="n">
        <v>20</v>
      </c>
      <c r="F22" s="18" t="s">
        <v>89</v>
      </c>
      <c r="G22" s="21" t="str">
        <f aca="false">VLOOKUP(D22,Acuan!$A$2:$C$7,2,FALSE())</f>
        <v>Teh Celup isi 25</v>
      </c>
      <c r="H22" s="22" t="n">
        <f aca="false">VLOOKUP(D22,Acuan!$A$2:$C$7,3,FALSE())</f>
        <v>12000</v>
      </c>
      <c r="I22" s="22" t="n">
        <f aca="false">E22*H22</f>
        <v>240000</v>
      </c>
      <c r="J22" s="22" t="n">
        <f aca="false">ROUND(I22*IF(I22&gt;=$O$4,$O$5,IF(I22&gt;=$O$2,$O$3,0)),0)</f>
        <v>0</v>
      </c>
      <c r="K22" s="22" t="n">
        <f aca="false">ROUND((I22-J22)*$O$6,0)</f>
        <v>26400</v>
      </c>
      <c r="L22" s="22" t="n">
        <f aca="false">I22-J22+K22</f>
        <v>266400</v>
      </c>
    </row>
    <row r="23" customFormat="false" ht="15" hidden="false" customHeight="false" outlineLevel="0" collapsed="false">
      <c r="A23" s="18" t="s">
        <v>128</v>
      </c>
      <c r="B23" s="19" t="n">
        <v>46308</v>
      </c>
      <c r="C23" s="18" t="s">
        <v>92</v>
      </c>
      <c r="D23" s="18" t="s">
        <v>122</v>
      </c>
      <c r="E23" s="20" t="n">
        <v>6</v>
      </c>
      <c r="F23" s="18" t="s">
        <v>89</v>
      </c>
      <c r="G23" s="21" t="str">
        <f aca="false">VLOOKUP(D23,Acuan!$A$2:$C$7,2,FALSE())</f>
        <v>Teh Celup isi 25</v>
      </c>
      <c r="H23" s="22" t="n">
        <f aca="false">VLOOKUP(D23,Acuan!$A$2:$C$7,3,FALSE())</f>
        <v>12000</v>
      </c>
      <c r="I23" s="22" t="n">
        <f aca="false">E23*H23</f>
        <v>72000</v>
      </c>
      <c r="J23" s="22" t="n">
        <f aca="false">ROUND(I23*IF(I23&gt;=$O$4,$O$5,IF(I23&gt;=$O$2,$O$3,0)),0)</f>
        <v>0</v>
      </c>
      <c r="K23" s="22" t="n">
        <f aca="false">ROUND((I23-J23)*$O$6,0)</f>
        <v>7920</v>
      </c>
      <c r="L23" s="22" t="n">
        <f aca="false">I23-J23+K23</f>
        <v>79920</v>
      </c>
    </row>
    <row r="24" customFormat="false" ht="15" hidden="false" customHeight="false" outlineLevel="0" collapsed="false">
      <c r="A24" s="18" t="s">
        <v>129</v>
      </c>
      <c r="B24" s="19" t="n">
        <v>46308</v>
      </c>
      <c r="C24" s="18" t="s">
        <v>92</v>
      </c>
      <c r="D24" s="18" t="s">
        <v>93</v>
      </c>
      <c r="E24" s="20" t="n">
        <v>13</v>
      </c>
      <c r="F24" s="18" t="s">
        <v>89</v>
      </c>
      <c r="G24" s="21" t="str">
        <f aca="false">VLOOKUP(D24,Acuan!$A$2:$C$7,2,FALSE())</f>
        <v>Beras Premium 5 kg</v>
      </c>
      <c r="H24" s="22" t="n">
        <f aca="false">VLOOKUP(D24,Acuan!$A$2:$C$7,3,FALSE())</f>
        <v>68000</v>
      </c>
      <c r="I24" s="22" t="n">
        <f aca="false">E24*H24</f>
        <v>884000</v>
      </c>
      <c r="J24" s="22" t="n">
        <f aca="false">ROUND(I24*IF(I24&gt;=$O$4,$O$5,IF(I24&gt;=$O$2,$O$3,0)),0)</f>
        <v>17680</v>
      </c>
      <c r="K24" s="22" t="n">
        <f aca="false">ROUND((I24-J24)*$O$6,0)</f>
        <v>95295</v>
      </c>
      <c r="L24" s="22" t="n">
        <f aca="false">I24-J24+K24</f>
        <v>961615</v>
      </c>
    </row>
    <row r="25" customFormat="false" ht="15" hidden="false" customHeight="false" outlineLevel="0" collapsed="false">
      <c r="A25" s="18" t="s">
        <v>130</v>
      </c>
      <c r="B25" s="19" t="n">
        <v>46308</v>
      </c>
      <c r="C25" s="18" t="s">
        <v>87</v>
      </c>
      <c r="D25" s="18" t="s">
        <v>122</v>
      </c>
      <c r="E25" s="20" t="n">
        <v>22</v>
      </c>
      <c r="F25" s="18" t="s">
        <v>94</v>
      </c>
      <c r="G25" s="21" t="str">
        <f aca="false">VLOOKUP(D25,Acuan!$A$2:$C$7,2,FALSE())</f>
        <v>Teh Celup isi 25</v>
      </c>
      <c r="H25" s="22" t="n">
        <f aca="false">VLOOKUP(D25,Acuan!$A$2:$C$7,3,FALSE())</f>
        <v>12000</v>
      </c>
      <c r="I25" s="22" t="n">
        <f aca="false">E25*H25</f>
        <v>264000</v>
      </c>
      <c r="J25" s="22" t="n">
        <f aca="false">ROUND(I25*IF(I25&gt;=$O$4,$O$5,IF(I25&gt;=$O$2,$O$3,0)),0)</f>
        <v>0</v>
      </c>
      <c r="K25" s="22" t="n">
        <f aca="false">ROUND((I25-J25)*$O$6,0)</f>
        <v>29040</v>
      </c>
      <c r="L25" s="22" t="n">
        <f aca="false">I25-J25+K25</f>
        <v>293040</v>
      </c>
    </row>
    <row r="26" customFormat="false" ht="15" hidden="false" customHeight="false" outlineLevel="0" collapsed="false">
      <c r="A26" s="18" t="s">
        <v>131</v>
      </c>
      <c r="B26" s="19" t="n">
        <v>46308</v>
      </c>
      <c r="C26" s="18" t="s">
        <v>110</v>
      </c>
      <c r="D26" s="18" t="s">
        <v>88</v>
      </c>
      <c r="E26" s="20" t="n">
        <v>37</v>
      </c>
      <c r="F26" s="18" t="s">
        <v>89</v>
      </c>
      <c r="G26" s="21" t="str">
        <f aca="false">VLOOKUP(D26,Acuan!$A$2:$C$7,2,FALSE())</f>
        <v>Gula Pasir 1 kg</v>
      </c>
      <c r="H26" s="22" t="n">
        <f aca="false">VLOOKUP(D26,Acuan!$A$2:$C$7,3,FALSE())</f>
        <v>17000</v>
      </c>
      <c r="I26" s="22" t="n">
        <f aca="false">E26*H26</f>
        <v>629000</v>
      </c>
      <c r="J26" s="22" t="n">
        <f aca="false">ROUND(I26*IF(I26&gt;=$O$4,$O$5,IF(I26&gt;=$O$2,$O$3,0)),0)</f>
        <v>12580</v>
      </c>
      <c r="K26" s="22" t="n">
        <f aca="false">ROUND((I26-J26)*$O$6,0)</f>
        <v>67806</v>
      </c>
      <c r="L26" s="22" t="n">
        <f aca="false">I26-J26+K26</f>
        <v>684226</v>
      </c>
    </row>
    <row r="27" customFormat="false" ht="15" hidden="false" customHeight="false" outlineLevel="0" collapsed="false">
      <c r="A27" s="18" t="s">
        <v>132</v>
      </c>
      <c r="B27" s="19" t="n">
        <v>46309</v>
      </c>
      <c r="C27" s="18" t="s">
        <v>110</v>
      </c>
      <c r="D27" s="18" t="s">
        <v>118</v>
      </c>
      <c r="E27" s="20" t="n">
        <v>7</v>
      </c>
      <c r="F27" s="18" t="s">
        <v>89</v>
      </c>
      <c r="G27" s="21" t="str">
        <f aca="false">VLOOKUP(D27,Acuan!$A$2:$C$7,2,FALSE())</f>
        <v>Mi Instan 1 dus</v>
      </c>
      <c r="H27" s="22" t="n">
        <f aca="false">VLOOKUP(D27,Acuan!$A$2:$C$7,3,FALSE())</f>
        <v>105000</v>
      </c>
      <c r="I27" s="22" t="n">
        <f aca="false">E27*H27</f>
        <v>735000</v>
      </c>
      <c r="J27" s="22" t="n">
        <f aca="false">ROUND(I27*IF(I27&gt;=$O$4,$O$5,IF(I27&gt;=$O$2,$O$3,0)),0)</f>
        <v>14700</v>
      </c>
      <c r="K27" s="22" t="n">
        <f aca="false">ROUND((I27-J27)*$O$6,0)</f>
        <v>79233</v>
      </c>
      <c r="L27" s="22" t="n">
        <f aca="false">I27-J27+K27</f>
        <v>799533</v>
      </c>
    </row>
    <row r="28" customFormat="false" ht="15" hidden="false" customHeight="false" outlineLevel="0" collapsed="false">
      <c r="A28" s="18" t="s">
        <v>133</v>
      </c>
      <c r="B28" s="19" t="n">
        <v>46310</v>
      </c>
      <c r="C28" s="18" t="s">
        <v>92</v>
      </c>
      <c r="D28" s="18" t="s">
        <v>93</v>
      </c>
      <c r="E28" s="20" t="n">
        <v>28</v>
      </c>
      <c r="F28" s="18" t="s">
        <v>89</v>
      </c>
      <c r="G28" s="21" t="str">
        <f aca="false">VLOOKUP(D28,Acuan!$A$2:$C$7,2,FALSE())</f>
        <v>Beras Premium 5 kg</v>
      </c>
      <c r="H28" s="22" t="n">
        <f aca="false">VLOOKUP(D28,Acuan!$A$2:$C$7,3,FALSE())</f>
        <v>68000</v>
      </c>
      <c r="I28" s="22" t="n">
        <f aca="false">E28*H28</f>
        <v>1904000</v>
      </c>
      <c r="J28" s="22" t="n">
        <f aca="false">ROUND(I28*IF(I28&gt;=$O$4,$O$5,IF(I28&gt;=$O$2,$O$3,0)),0)</f>
        <v>95200</v>
      </c>
      <c r="K28" s="22" t="n">
        <f aca="false">ROUND((I28-J28)*$O$6,0)</f>
        <v>198968</v>
      </c>
      <c r="L28" s="22" t="n">
        <f aca="false">I28-J28+K28</f>
        <v>2007768</v>
      </c>
    </row>
    <row r="29" customFormat="false" ht="15" hidden="false" customHeight="false" outlineLevel="0" collapsed="false">
      <c r="A29" s="18" t="s">
        <v>134</v>
      </c>
      <c r="B29" s="19" t="n">
        <v>46310</v>
      </c>
      <c r="C29" s="18" t="s">
        <v>87</v>
      </c>
      <c r="D29" s="18" t="s">
        <v>118</v>
      </c>
      <c r="E29" s="20" t="n">
        <v>40</v>
      </c>
      <c r="F29" s="18" t="s">
        <v>89</v>
      </c>
      <c r="G29" s="21" t="str">
        <f aca="false">VLOOKUP(D29,Acuan!$A$2:$C$7,2,FALSE())</f>
        <v>Mi Instan 1 dus</v>
      </c>
      <c r="H29" s="22" t="n">
        <f aca="false">VLOOKUP(D29,Acuan!$A$2:$C$7,3,FALSE())</f>
        <v>105000</v>
      </c>
      <c r="I29" s="22" t="n">
        <f aca="false">E29*H29</f>
        <v>4200000</v>
      </c>
      <c r="J29" s="22" t="n">
        <f aca="false">ROUND(I29*IF(I29&gt;=$O$4,$O$5,IF(I29&gt;=$O$2,$O$3,0)),0)</f>
        <v>210000</v>
      </c>
      <c r="K29" s="22" t="n">
        <f aca="false">ROUND((I29-J29)*$O$6,0)</f>
        <v>438900</v>
      </c>
      <c r="L29" s="22" t="n">
        <f aca="false">I29-J29+K29</f>
        <v>4428900</v>
      </c>
    </row>
    <row r="30" customFormat="false" ht="15" hidden="false" customHeight="false" outlineLevel="0" collapsed="false">
      <c r="A30" s="18" t="s">
        <v>135</v>
      </c>
      <c r="B30" s="19" t="n">
        <v>46312</v>
      </c>
      <c r="C30" s="18" t="s">
        <v>124</v>
      </c>
      <c r="D30" s="18" t="s">
        <v>118</v>
      </c>
      <c r="E30" s="20" t="n">
        <v>20</v>
      </c>
      <c r="F30" s="18" t="s">
        <v>89</v>
      </c>
      <c r="G30" s="21" t="str">
        <f aca="false">VLOOKUP(D30,Acuan!$A$2:$C$7,2,FALSE())</f>
        <v>Mi Instan 1 dus</v>
      </c>
      <c r="H30" s="22" t="n">
        <f aca="false">VLOOKUP(D30,Acuan!$A$2:$C$7,3,FALSE())</f>
        <v>105000</v>
      </c>
      <c r="I30" s="22" t="n">
        <f aca="false">E30*H30</f>
        <v>2100000</v>
      </c>
      <c r="J30" s="22" t="n">
        <f aca="false">ROUND(I30*IF(I30&gt;=$O$4,$O$5,IF(I30&gt;=$O$2,$O$3,0)),0)</f>
        <v>105000</v>
      </c>
      <c r="K30" s="22" t="n">
        <f aca="false">ROUND((I30-J30)*$O$6,0)</f>
        <v>219450</v>
      </c>
      <c r="L30" s="22" t="n">
        <f aca="false">I30-J30+K30</f>
        <v>2214450</v>
      </c>
    </row>
    <row r="31" customFormat="false" ht="15" hidden="false" customHeight="false" outlineLevel="0" collapsed="false">
      <c r="A31" s="18" t="s">
        <v>136</v>
      </c>
      <c r="B31" s="19" t="n">
        <v>46314</v>
      </c>
      <c r="C31" s="18" t="s">
        <v>100</v>
      </c>
      <c r="D31" s="18" t="s">
        <v>93</v>
      </c>
      <c r="E31" s="20" t="n">
        <v>29</v>
      </c>
      <c r="F31" s="18" t="s">
        <v>94</v>
      </c>
      <c r="G31" s="21" t="str">
        <f aca="false">VLOOKUP(D31,Acuan!$A$2:$C$7,2,FALSE())</f>
        <v>Beras Premium 5 kg</v>
      </c>
      <c r="H31" s="22" t="n">
        <f aca="false">VLOOKUP(D31,Acuan!$A$2:$C$7,3,FALSE())</f>
        <v>68000</v>
      </c>
      <c r="I31" s="22" t="n">
        <f aca="false">E31*H31</f>
        <v>1972000</v>
      </c>
      <c r="J31" s="22" t="n">
        <f aca="false">ROUND(I31*IF(I31&gt;=$O$4,$O$5,IF(I31&gt;=$O$2,$O$3,0)),0)</f>
        <v>98600</v>
      </c>
      <c r="K31" s="22" t="n">
        <f aca="false">ROUND((I31-J31)*$O$6,0)</f>
        <v>206074</v>
      </c>
      <c r="L31" s="22" t="n">
        <f aca="false">I31-J31+K31</f>
        <v>2079474</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2"/>
    <col collapsed="false" customWidth="true" hidden="false" outlineLevel="0" max="3" min="3" style="0" width="14"/>
    <col collapsed="false" customWidth="true" hidden="false" outlineLevel="0" max="4" min="4" style="0" width="16"/>
  </cols>
  <sheetData>
    <row r="1" customFormat="false" ht="33.75" hidden="false" customHeight="true" outlineLevel="0" collapsed="false">
      <c r="A1" s="12" t="s">
        <v>74</v>
      </c>
      <c r="B1" s="12" t="s">
        <v>77</v>
      </c>
      <c r="C1" s="12" t="s">
        <v>78</v>
      </c>
      <c r="D1" s="16" t="s">
        <v>137</v>
      </c>
    </row>
    <row r="2" customFormat="false" ht="15" hidden="false" customHeight="false" outlineLevel="0" collapsed="false">
      <c r="A2" s="18" t="s">
        <v>93</v>
      </c>
      <c r="B2" s="18" t="s">
        <v>138</v>
      </c>
      <c r="C2" s="27" t="n">
        <v>68000</v>
      </c>
      <c r="D2" s="28" t="n">
        <f aca="false">SUMIF(Data!$D$2:$D$31,A2,Data!$E$2:$E$31)</f>
        <v>102</v>
      </c>
    </row>
    <row r="3" customFormat="false" ht="15" hidden="false" customHeight="false" outlineLevel="0" collapsed="false">
      <c r="A3" s="18" t="s">
        <v>108</v>
      </c>
      <c r="B3" s="18" t="s">
        <v>139</v>
      </c>
      <c r="C3" s="27" t="n">
        <v>38000</v>
      </c>
      <c r="D3" s="28" t="n">
        <f aca="false">SUMIF(Data!$D$2:$D$31,A3,Data!$E$2:$E$31)</f>
        <v>134</v>
      </c>
    </row>
    <row r="4" customFormat="false" ht="15" hidden="false" customHeight="false" outlineLevel="0" collapsed="false">
      <c r="A4" s="18" t="s">
        <v>88</v>
      </c>
      <c r="B4" s="18" t="s">
        <v>140</v>
      </c>
      <c r="C4" s="27" t="n">
        <v>17000</v>
      </c>
      <c r="D4" s="28" t="n">
        <f aca="false">SUMIF(Data!$D$2:$D$31,A4,Data!$E$2:$E$31)</f>
        <v>121</v>
      </c>
    </row>
    <row r="5" customFormat="false" ht="15" hidden="false" customHeight="false" outlineLevel="0" collapsed="false">
      <c r="A5" s="18" t="s">
        <v>101</v>
      </c>
      <c r="B5" s="18" t="s">
        <v>141</v>
      </c>
      <c r="C5" s="27" t="n">
        <v>24000</v>
      </c>
      <c r="D5" s="28" t="n">
        <f aca="false">SUMIF(Data!$D$2:$D$31,A5,Data!$E$2:$E$31)</f>
        <v>109</v>
      </c>
    </row>
    <row r="6" customFormat="false" ht="15" hidden="false" customHeight="false" outlineLevel="0" collapsed="false">
      <c r="A6" s="18" t="s">
        <v>122</v>
      </c>
      <c r="B6" s="18" t="s">
        <v>142</v>
      </c>
      <c r="C6" s="27" t="n">
        <v>12000</v>
      </c>
      <c r="D6" s="28" t="n">
        <f aca="false">SUMIF(Data!$D$2:$D$31,A6,Data!$E$2:$E$31)</f>
        <v>86</v>
      </c>
    </row>
    <row r="7" customFormat="false" ht="15" hidden="false" customHeight="false" outlineLevel="0" collapsed="false">
      <c r="A7" s="18" t="s">
        <v>118</v>
      </c>
      <c r="B7" s="18" t="s">
        <v>143</v>
      </c>
      <c r="C7" s="27" t="n">
        <v>105000</v>
      </c>
      <c r="D7" s="28" t="n">
        <f aca="false">SUMIF(Data!$D$2:$D$31,A7,Data!$E$2:$E$31)</f>
        <v>100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9" t="s">
        <v>144</v>
      </c>
      <c r="B1" s="29"/>
      <c r="C1" s="29"/>
      <c r="D1" s="29"/>
    </row>
    <row r="2" customFormat="false" ht="15" hidden="false" customHeight="false" outlineLevel="0" collapsed="false">
      <c r="A2" s="30" t="s">
        <v>145</v>
      </c>
      <c r="B2" s="30"/>
      <c r="C2" s="30"/>
      <c r="D2" s="30"/>
    </row>
    <row r="3" customFormat="false" ht="15" hidden="false" customHeight="false" outlineLevel="0" collapsed="false">
      <c r="A3" s="12" t="s">
        <v>19</v>
      </c>
      <c r="B3" s="12" t="s">
        <v>146</v>
      </c>
      <c r="C3" s="12" t="s">
        <v>147</v>
      </c>
      <c r="D3" s="12" t="s">
        <v>148</v>
      </c>
    </row>
    <row r="4" customFormat="false" ht="19.5" hidden="false" customHeight="true" outlineLevel="0" collapsed="false">
      <c r="A4" s="31" t="s">
        <v>47</v>
      </c>
      <c r="B4" s="32" t="s">
        <v>149</v>
      </c>
      <c r="C4" s="22" t="n">
        <f aca="false">SUM(Data!$L$2:$L$31)</f>
        <v>30116264</v>
      </c>
      <c r="D4" s="25" t="s">
        <v>150</v>
      </c>
    </row>
    <row r="5" customFormat="false" ht="19.5" hidden="false" customHeight="true" outlineLevel="0" collapsed="false">
      <c r="A5" s="31" t="s">
        <v>51</v>
      </c>
      <c r="B5" s="32" t="s">
        <v>151</v>
      </c>
      <c r="C5" s="22" t="n">
        <f aca="false">SUM(Data!$J$2:$J$31)</f>
        <v>1101230</v>
      </c>
      <c r="D5" s="25" t="s">
        <v>152</v>
      </c>
    </row>
    <row r="6" customFormat="false" ht="19.5" hidden="false" customHeight="true" outlineLevel="0" collapsed="false">
      <c r="A6" s="31" t="s">
        <v>55</v>
      </c>
      <c r="B6" s="32" t="s">
        <v>153</v>
      </c>
      <c r="C6" s="28" t="n">
        <f aca="false">COUNTIF(Data!$J$2:$J$31,"&gt;0")</f>
        <v>18</v>
      </c>
      <c r="D6" s="25" t="s">
        <v>154</v>
      </c>
    </row>
    <row r="7" customFormat="false" ht="19.5" hidden="false" customHeight="true" outlineLevel="0" collapsed="false">
      <c r="A7" s="31" t="s">
        <v>155</v>
      </c>
      <c r="B7" s="32" t="s">
        <v>156</v>
      </c>
      <c r="C7" s="22" t="n">
        <f aca="false">SUMIF(Data!$F$2:$F$31,"Tunai",Data!$L$2:$L$31)</f>
        <v>13802639</v>
      </c>
      <c r="D7" s="25" t="s">
        <v>157</v>
      </c>
    </row>
    <row r="8" customFormat="false" ht="19.5" hidden="false" customHeight="true" outlineLevel="0" collapsed="false">
      <c r="A8" s="31" t="s">
        <v>158</v>
      </c>
      <c r="B8" s="32" t="s">
        <v>159</v>
      </c>
      <c r="C8" s="22" t="n">
        <f aca="false">SUMIF(Data!$F$2:$F$31,"Transfer",Data!$L$2:$L$31)</f>
        <v>16313625</v>
      </c>
      <c r="D8" s="25" t="s">
        <v>157</v>
      </c>
    </row>
    <row r="9" customFormat="false" ht="19.5" hidden="false" customHeight="true" outlineLevel="0" collapsed="false">
      <c r="A9" s="31" t="s">
        <v>67</v>
      </c>
      <c r="B9" s="32" t="s">
        <v>160</v>
      </c>
      <c r="C9" s="21" t="str">
        <f aca="false">INDEX(Acuan!$B$2:$B$7,MATCH(MAX(Acuan!$D$2:$D$7),Acuan!$D$2:$D$7,0))</f>
        <v>Minyak Goreng 2 L</v>
      </c>
      <c r="D9" s="25" t="s">
        <v>161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2026-10-10T06:49:17Z</dcterms:created>
  <dc:creator>PushExcel</dc:creator>
  <dc:description/>
  <dc:language>en-US</dc:language>
  <cp:lastModifiedBy/>
  <dcterms:modified xsi:type="dcterms:W3CDTF">2026-10-10T06:49:17Z</dcterms:modified>
  <cp:revision>0</cp:revision>
  <dc:subject/>
  <dc:title>Faktur dan Rekap Penjualan - Kunci</dc:title>
</cp:coreProperties>
</file>

<file path=docProps/custom.xml><?xml version="1.0" encoding="utf-8"?>
<Properties xmlns="http://schemas.openxmlformats.org/officeDocument/2006/custom-properties" xmlns:vt="http://schemas.openxmlformats.org/officeDocument/2006/docPropsVTypes"/>
</file>