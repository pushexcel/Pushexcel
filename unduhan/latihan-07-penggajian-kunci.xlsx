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unjuk" sheetId="1" state="visible" r:id="rId3"/>
    <sheet name="Data" sheetId="2" state="visible" r:id="rId4"/>
    <sheet name="Acuan" sheetId="3" state="visible" r:id="rId5"/>
    <sheet name="Ringkasa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<sst xmlns="http://schemas.openxmlformats.org/spreadsheetml/2006/main" count="169" uniqueCount="127">
  <si>
    <t xml:space="preserve">Kunci Jawaban: Penggajian Karyawan Bulanan</t>
  </si>
  <si>
    <t xml:space="preserve">Latihan 7 dari 24  |  Tingkat: Lanjutan  |  Perkiraan waktu: 60 menit  |  pushexcel.github.io/Pushexcel</t>
  </si>
  <si>
    <t xml:space="preserve">Skenario</t>
  </si>
  <si>
    <t xml:space="preserve">Kamu staf payroll di PT Karya Utama. Tiap golongan punya gaji pokok, tunjangan jabatan, dan tarif lembur sendiri (sheet Acuan). Karyawan berstatus K (kawin) mendapat tunjangan keluarga 10 persen dari gaji pokok. Potongan BPJS karyawan adalah 1 persen (Kesehatan) ditambah 2 persen (JHT) dari gaji pokok. Kamu menyusun daftar gaji bulan ini untuk 16 karyawan.</t>
  </si>
  <si>
    <t xml:space="preserve">Cara memakai kunci</t>
  </si>
  <si>
    <t xml:space="preserve">1.</t>
  </si>
  <si>
    <t xml:space="preserve">Sel hijau berisi rumus kunci yang sudah dihitung. Klik sel untuk melihat rumusnya.</t>
  </si>
  <si>
    <t xml:space="preserve">2.</t>
  </si>
  <si>
    <t xml:space="preserve">Kolom Rumus kunci di bawah menampilkan rumus untuk baris pertama atau tiap sel jawaban.</t>
  </si>
  <si>
    <t xml:space="preserve">3.</t>
  </si>
  <si>
    <t xml:space="preserve">Rumus ditulis dengan titik koma (;). Ganti dengan koma (,) bila Excel kamu berbahasa Inggris.</t>
  </si>
  <si>
    <t xml:space="preserve">4.</t>
  </si>
  <si>
    <t xml:space="preserve">Jawaban lain yang benar secara logika juga boleh, selama hasilnya sama.</t>
  </si>
  <si>
    <t xml:space="preserve">Arti warna</t>
  </si>
  <si>
    <t xml:space="preserve">Judul kolom data yang sudah diberikan</t>
  </si>
  <si>
    <t xml:space="preserve">Judul kolom hasil hitung</t>
  </si>
  <si>
    <t xml:space="preserve">Sel berisi rumus kunci</t>
  </si>
  <si>
    <t xml:space="preserve">Angka berwarna biru pada blok Parameter = nilai tetap yang boleh dirujuk</t>
  </si>
  <si>
    <t xml:space="preserve">Daftar soal</t>
  </si>
  <si>
    <t xml:space="preserve">No</t>
  </si>
  <si>
    <t xml:space="preserve">Soal</t>
  </si>
  <si>
    <t xml:space="preserve">Jawab di</t>
  </si>
  <si>
    <t xml:space="preserve">Rumus kunci</t>
  </si>
  <si>
    <t xml:space="preserve">1</t>
  </si>
  <si>
    <t xml:space="preserve">Ambil gaji pokok setiap karyawan dari tabel golongan di sheet Acuan.</t>
  </si>
  <si>
    <t xml:space="preserve">Sheet Data, kolom F (Gaji Pokok), baris 2 sampai 17</t>
  </si>
  <si>
    <t xml:space="preserve">=VLOOKUP(C2;Acuan!$A$2:$D$5;2;FALSE)</t>
  </si>
  <si>
    <t xml:space="preserve">2</t>
  </si>
  <si>
    <t xml:space="preserve">Ambil tunjangan jabatan dengan cara yang sama. Perhatikan nomor kolom yang diambil.</t>
  </si>
  <si>
    <t xml:space="preserve">Sheet Data, kolom G (Tunjangan Jabatan), baris 2 sampai 17</t>
  </si>
  <si>
    <t xml:space="preserve">=VLOOKUP(C2;Acuan!$A$2:$D$5;3;FALSE)</t>
  </si>
  <si>
    <t xml:space="preserve">3</t>
  </si>
  <si>
    <t xml:space="preserve">Hitung tunjangan keluarga: karyawan berstatus K mendapat persentase tunjangan dari gaji pokok, status TK mendapat 0.</t>
  </si>
  <si>
    <t xml:space="preserve">Sheet Data, kolom H (Tunjangan Keluarga), baris 2 sampai 17</t>
  </si>
  <si>
    <t xml:space="preserve">=IF(D2="K";ROUND(F2*$O$2;0);0)</t>
  </si>
  <si>
    <t xml:space="preserve">4</t>
  </si>
  <si>
    <t xml:space="preserve">Hitung upah lembur: jam lembur dikali tarif lembur per jam sesuai golongan.</t>
  </si>
  <si>
    <t xml:space="preserve">Sheet Data, kolom I (Upah Lembur), baris 2 sampai 17</t>
  </si>
  <si>
    <t xml:space="preserve">=E2*VLOOKUP(C2;Acuan!$A$2:$D$5;4;FALSE)</t>
  </si>
  <si>
    <t xml:space="preserve">5</t>
  </si>
  <si>
    <t xml:space="preserve">Hitung gaji kotor: gaji pokok + tunjangan jabatan + tunjangan keluarga + upah lembur.</t>
  </si>
  <si>
    <t xml:space="preserve">Sheet Data, kolom J (Gaji Kotor), baris 2 sampai 17</t>
  </si>
  <si>
    <t xml:space="preserve">=SUM(F2:I2)</t>
  </si>
  <si>
    <t xml:space="preserve">6</t>
  </si>
  <si>
    <t xml:space="preserve">Hitung potongan BPJS: gaji pokok dikali jumlah persentase BPJS Kesehatan dan JHT.</t>
  </si>
  <si>
    <t xml:space="preserve">Sheet Data, kolom K (Potongan BPJS), baris 2 sampai 17</t>
  </si>
  <si>
    <t xml:space="preserve">=ROUND(F2*($O$3+$O$4);0)</t>
  </si>
  <si>
    <t xml:space="preserve">7</t>
  </si>
  <si>
    <t xml:space="preserve">Hitung gaji bersih: gaji kotor dikurangi potongan BPJS.</t>
  </si>
  <si>
    <t xml:space="preserve">Sheet Data, kolom L (Gaji Bersih), baris 2 sampai 17</t>
  </si>
  <si>
    <t xml:space="preserve">=J2-K2</t>
  </si>
  <si>
    <t xml:space="preserve">8</t>
  </si>
  <si>
    <t xml:space="preserve">Berapa total anggaran gaji bersih bulan ini untuk seluruh karyawan?</t>
  </si>
  <si>
    <t xml:space="preserve">Sheet Ringkasan, sel C4</t>
  </si>
  <si>
    <t xml:space="preserve">=SUM(Data!$L$2:$L$17)</t>
  </si>
  <si>
    <t xml:space="preserve">9</t>
  </si>
  <si>
    <t xml:space="preserve">Siapa karyawan dengan gaji bersih tertinggi?</t>
  </si>
  <si>
    <t xml:space="preserve">Sheet Ringkasan, sel C5</t>
  </si>
  <si>
    <t xml:space="preserve">=INDEX(Data!$B$2:$B$17;MATCH(MAX(Data!$L$2:$L$17);Data!$L$2:$L$17;0))</t>
  </si>
  <si>
    <t xml:space="preserve">10</t>
  </si>
  <si>
    <t xml:space="preserve">Berapa rata-rata gaji bersih karyawan golongan III?</t>
  </si>
  <si>
    <t xml:space="preserve">Sheet Ringkasan, sel C6</t>
  </si>
  <si>
    <t xml:space="preserve">=AVERAGEIF(Data!$C$2:$C$17;"III";Data!$L$2:$L$17)</t>
  </si>
  <si>
    <t xml:space="preserve">11</t>
  </si>
  <si>
    <t xml:space="preserve">Berapa karyawan yang lembur lebih dari 20 jam?</t>
  </si>
  <si>
    <t xml:space="preserve">Sheet Ringkasan, sel C7</t>
  </si>
  <si>
    <t xml:space="preserve">=COUNTIF(Data!$E$2:$E$17;"&gt;20")</t>
  </si>
  <si>
    <t xml:space="preserve">12</t>
  </si>
  <si>
    <t xml:space="preserve">Berapa total upah lembur yang dibayarkan bulan ini?</t>
  </si>
  <si>
    <t xml:space="preserve">Sheet Ringkasan, sel C8</t>
  </si>
  <si>
    <t xml:space="preserve">=SUM(Data!$I$2:$I$17)</t>
  </si>
  <si>
    <t xml:space="preserve">Nama Karyawan</t>
  </si>
  <si>
    <t xml:space="preserve">Golongan</t>
  </si>
  <si>
    <t xml:space="preserve">Status</t>
  </si>
  <si>
    <t xml:space="preserve">Jam Lembur</t>
  </si>
  <si>
    <t xml:space="preserve">Gaji Pokok</t>
  </si>
  <si>
    <t xml:space="preserve">Tunjangan Jabatan</t>
  </si>
  <si>
    <t xml:space="preserve">Tunjangan Keluarga</t>
  </si>
  <si>
    <t xml:space="preserve">Upah Lembur</t>
  </si>
  <si>
    <t xml:space="preserve">Gaji Kotor</t>
  </si>
  <si>
    <t xml:space="preserve">Potongan BPJS</t>
  </si>
  <si>
    <t xml:space="preserve">Gaji Bersih</t>
  </si>
  <si>
    <t xml:space="preserve">Parameter</t>
  </si>
  <si>
    <t xml:space="preserve">Nilai</t>
  </si>
  <si>
    <t xml:space="preserve">Keterangan</t>
  </si>
  <si>
    <t xml:space="preserve">Intan Susanto</t>
  </si>
  <si>
    <t xml:space="preserve">II</t>
  </si>
  <si>
    <t xml:space="preserve">TK</t>
  </si>
  <si>
    <t xml:space="preserve">Tunjangan keluarga (status K)</t>
  </si>
  <si>
    <t xml:space="preserve">Persen dari gaji pokok</t>
  </si>
  <si>
    <t xml:space="preserve">Jamal Wijaya</t>
  </si>
  <si>
    <t xml:space="preserve">III</t>
  </si>
  <si>
    <t xml:space="preserve">K</t>
  </si>
  <si>
    <t xml:space="preserve">Potongan BPJS Kesehatan</t>
  </si>
  <si>
    <t xml:space="preserve">Putri Firmansyah</t>
  </si>
  <si>
    <t xml:space="preserve">Potongan BPJS JHT</t>
  </si>
  <si>
    <t xml:space="preserve">Prasetyo Santoso</t>
  </si>
  <si>
    <t xml:space="preserve">I</t>
  </si>
  <si>
    <t xml:space="preserve">Gunawan Wibowo</t>
  </si>
  <si>
    <t xml:space="preserve">IV</t>
  </si>
  <si>
    <t xml:space="preserve">Sari Santoso</t>
  </si>
  <si>
    <t xml:space="preserve">Ayu Susanto</t>
  </si>
  <si>
    <t xml:space="preserve">Umar Setiawan</t>
  </si>
  <si>
    <t xml:space="preserve">Yanti Permana</t>
  </si>
  <si>
    <t xml:space="preserve">Ahmad Saputra</t>
  </si>
  <si>
    <t xml:space="preserve">Edi Susanto</t>
  </si>
  <si>
    <t xml:space="preserve">Prasetyo Kurniawan</t>
  </si>
  <si>
    <t xml:space="preserve">Teguh Utomo</t>
  </si>
  <si>
    <t xml:space="preserve">Prasetyo Utomo</t>
  </si>
  <si>
    <t xml:space="preserve">Ratna Handayani</t>
  </si>
  <si>
    <t xml:space="preserve">Wawan Pratama</t>
  </si>
  <si>
    <t xml:space="preserve">Tarif Lembur per Jam</t>
  </si>
  <si>
    <t xml:space="preserve">Ringkasan: lembar jawaban soal berjenis ringkasan</t>
  </si>
  <si>
    <t xml:space="preserve">Sel hijau berisi rumus kunci.</t>
  </si>
  <si>
    <t xml:space="preserve">Pertanyaan</t>
  </si>
  <si>
    <t xml:space="preserve">Jawaban</t>
  </si>
  <si>
    <t xml:space="preserve">Contoh format hasil</t>
  </si>
  <si>
    <t xml:space="preserve">Total gaji bersih seluruh karyawan</t>
  </si>
  <si>
    <t xml:space="preserve">Rupiah, mis. Rp 95.000.000</t>
  </si>
  <si>
    <t xml:space="preserve">Nama karyawan bergaji bersih tertinggi</t>
  </si>
  <si>
    <t xml:space="preserve">Teks: nama karyawan</t>
  </si>
  <si>
    <t xml:space="preserve">Rata-rata gaji bersih golongan III</t>
  </si>
  <si>
    <t xml:space="preserve">Rupiah, mis. Rp 7.200.000</t>
  </si>
  <si>
    <t xml:space="preserve">Jumlah karyawan dengan lembur lebih dari 20 jam</t>
  </si>
  <si>
    <t xml:space="preserve">Angka bulat, mis. 4</t>
  </si>
  <si>
    <t xml:space="preserve">Total upah lembur</t>
  </si>
  <si>
    <t xml:space="preserve">Rupiah, mis. Rp 6.500.000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</si>
</sst>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&quot;Rp &quot;#,##0"/>
    <numFmt numFmtId="167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3D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Consolas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1F4E3D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3D"/>
        <bgColor rgb="FF44546A"/>
      </patternFill>
    </fill>
    <fill>
      <patternFill patternType="solid">
        <fgColor rgb="FFB45F06"/>
        <bgColor rgb="FF808000"/>
      </patternFill>
    </fill>
    <fill>
      <patternFill patternType="solid">
        <fgColor rgb="FFE2EFDA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44546A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B45F06"/>
      <rgbColor rgb="FF993366"/>
      <rgbColor rgb="FF44546A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40"/>
    <col collapsed="false" customWidth="true" hidden="false" outlineLevel="0" max="4" min="4" style="0" width="70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60" hidden="false" customHeight="true" outlineLevel="0" collapsed="false">
      <c r="A5" s="4" t="s">
        <v>3</v>
      </c>
      <c r="B5" s="4"/>
      <c r="C5" s="4"/>
      <c r="D5" s="4"/>
      <c r="E5" s="4"/>
    </row>
    <row r="7" customFormat="false" ht="15" hidden="false" customHeight="false" outlineLevel="0" collapsed="false">
      <c r="A7" s="3" t="s">
        <v>4</v>
      </c>
    </row>
    <row r="8" customFormat="false" ht="15" hidden="false" customHeight="true" outlineLevel="0" collapsed="false">
      <c r="A8" s="5" t="s">
        <v>5</v>
      </c>
      <c r="B8" s="4" t="s">
        <v>6</v>
      </c>
      <c r="C8" s="4"/>
      <c r="D8" s="4"/>
      <c r="E8" s="4"/>
    </row>
    <row r="9" customFormat="false" ht="15" hidden="false" customHeight="true" outlineLevel="0" collapsed="false">
      <c r="A9" s="5" t="s">
        <v>7</v>
      </c>
      <c r="B9" s="4" t="s">
        <v>8</v>
      </c>
      <c r="C9" s="4"/>
      <c r="D9" s="4"/>
      <c r="E9" s="4"/>
    </row>
    <row r="10" customFormat="false" ht="15" hidden="false" customHeight="true" outlineLevel="0" collapsed="false">
      <c r="A10" s="5" t="s">
        <v>9</v>
      </c>
      <c r="B10" s="4" t="s">
        <v>10</v>
      </c>
      <c r="C10" s="4"/>
      <c r="D10" s="4"/>
      <c r="E10" s="4"/>
    </row>
    <row r="11" customFormat="false" ht="15" hidden="false" customHeight="true" outlineLevel="0" collapsed="false">
      <c r="A11" s="5" t="s">
        <v>11</v>
      </c>
      <c r="B11" s="4" t="s">
        <v>12</v>
      </c>
      <c r="C11" s="4"/>
      <c r="D11" s="4"/>
      <c r="E11" s="4"/>
    </row>
    <row r="13" customFormat="false" ht="15" hidden="false" customHeight="false" outlineLevel="0" collapsed="false">
      <c r="A13" s="3" t="s">
        <v>13</v>
      </c>
    </row>
    <row r="14" customFormat="false" ht="15" hidden="false" customHeight="false" outlineLevel="0" collapsed="false">
      <c r="A14" s="6"/>
      <c r="B14" s="7" t="s">
        <v>14</v>
      </c>
    </row>
    <row r="15" customFormat="false" ht="15" hidden="false" customHeight="false" outlineLevel="0" collapsed="false">
      <c r="A15" s="8"/>
      <c r="B15" s="7" t="s">
        <v>15</v>
      </c>
    </row>
    <row r="16" customFormat="false" ht="15" hidden="false" customHeight="false" outlineLevel="0" collapsed="false">
      <c r="A16" s="9"/>
      <c r="B16" s="7" t="s">
        <v>16</v>
      </c>
    </row>
    <row r="17" customFormat="false" ht="15" hidden="false" customHeight="false" outlineLevel="0" collapsed="false">
      <c r="A17" s="10"/>
      <c r="B17" s="11" t="s">
        <v>17</v>
      </c>
    </row>
    <row r="19" customFormat="false" ht="15" hidden="false" customHeight="false" outlineLevel="0" collapsed="false">
      <c r="A19" s="3" t="s">
        <v>18</v>
      </c>
    </row>
    <row r="20" customFormat="false" ht="15" hidden="false" customHeight="false" outlineLevel="0" collapsed="false">
      <c r="A20" s="12" t="s">
        <v>19</v>
      </c>
      <c r="B20" s="12" t="s">
        <v>20</v>
      </c>
      <c r="C20" s="12" t="s">
        <v>21</v>
      </c>
      <c r="D20" s="12" t="s">
        <v>22</v>
      </c>
    </row>
    <row r="21" customFormat="false" ht="30" hidden="false" customHeight="true" outlineLevel="0" collapsed="false">
      <c r="A21" s="13" t="s">
        <v>23</v>
      </c>
      <c r="B21" s="14" t="s">
        <v>24</v>
      </c>
      <c r="C21" s="14" t="s">
        <v>25</v>
      </c>
      <c r="D21" s="15" t="s">
        <v>26</v>
      </c>
    </row>
    <row r="22" customFormat="false" ht="30" hidden="false" customHeight="true" outlineLevel="0" collapsed="false">
      <c r="A22" s="13" t="s">
        <v>27</v>
      </c>
      <c r="B22" s="14" t="s">
        <v>28</v>
      </c>
      <c r="C22" s="14" t="s">
        <v>29</v>
      </c>
      <c r="D22" s="15" t="s">
        <v>30</v>
      </c>
    </row>
    <row r="23" customFormat="false" ht="42" hidden="false" customHeight="true" outlineLevel="0" collapsed="false">
      <c r="A23" s="13" t="s">
        <v>31</v>
      </c>
      <c r="B23" s="14" t="s">
        <v>32</v>
      </c>
      <c r="C23" s="14" t="s">
        <v>33</v>
      </c>
      <c r="D23" s="15" t="s">
        <v>34</v>
      </c>
    </row>
    <row r="24" customFormat="false" ht="30" hidden="false" customHeight="true" outlineLevel="0" collapsed="false">
      <c r="A24" s="13" t="s">
        <v>35</v>
      </c>
      <c r="B24" s="14" t="s">
        <v>36</v>
      </c>
      <c r="C24" s="14" t="s">
        <v>37</v>
      </c>
      <c r="D24" s="15" t="s">
        <v>38</v>
      </c>
    </row>
    <row r="25" customFormat="false" ht="30" hidden="false" customHeight="true" outlineLevel="0" collapsed="false">
      <c r="A25" s="13" t="s">
        <v>39</v>
      </c>
      <c r="B25" s="14" t="s">
        <v>40</v>
      </c>
      <c r="C25" s="14" t="s">
        <v>41</v>
      </c>
      <c r="D25" s="15" t="s">
        <v>42</v>
      </c>
    </row>
    <row r="26" customFormat="false" ht="30" hidden="false" customHeight="true" outlineLevel="0" collapsed="false">
      <c r="A26" s="13" t="s">
        <v>43</v>
      </c>
      <c r="B26" s="14" t="s">
        <v>44</v>
      </c>
      <c r="C26" s="14" t="s">
        <v>45</v>
      </c>
      <c r="D26" s="15" t="s">
        <v>46</v>
      </c>
    </row>
    <row r="27" customFormat="false" ht="30" hidden="false" customHeight="true" outlineLevel="0" collapsed="false">
      <c r="A27" s="13" t="s">
        <v>47</v>
      </c>
      <c r="B27" s="14" t="s">
        <v>48</v>
      </c>
      <c r="C27" s="14" t="s">
        <v>49</v>
      </c>
      <c r="D27" s="15" t="s">
        <v>50</v>
      </c>
    </row>
    <row r="28" customFormat="false" ht="30" hidden="false" customHeight="true" outlineLevel="0" collapsed="false">
      <c r="A28" s="13" t="s">
        <v>51</v>
      </c>
      <c r="B28" s="14" t="s">
        <v>52</v>
      </c>
      <c r="C28" s="14" t="s">
        <v>53</v>
      </c>
      <c r="D28" s="15" t="s">
        <v>54</v>
      </c>
    </row>
    <row r="29" customFormat="false" ht="30" hidden="false" customHeight="true" outlineLevel="0" collapsed="false">
      <c r="A29" s="13" t="s">
        <v>55</v>
      </c>
      <c r="B29" s="14" t="s">
        <v>56</v>
      </c>
      <c r="C29" s="14" t="s">
        <v>57</v>
      </c>
      <c r="D29" s="15" t="s">
        <v>58</v>
      </c>
    </row>
    <row r="30" customFormat="false" ht="30" hidden="false" customHeight="true" outlineLevel="0" collapsed="false">
      <c r="A30" s="13" t="s">
        <v>59</v>
      </c>
      <c r="B30" s="14" t="s">
        <v>60</v>
      </c>
      <c r="C30" s="14" t="s">
        <v>61</v>
      </c>
      <c r="D30" s="15" t="s">
        <v>62</v>
      </c>
    </row>
    <row r="31" customFormat="false" ht="30" hidden="false" customHeight="true" outlineLevel="0" collapsed="false">
      <c r="A31" s="13" t="s">
        <v>63</v>
      </c>
      <c r="B31" s="14" t="s">
        <v>64</v>
      </c>
      <c r="C31" s="14" t="s">
        <v>65</v>
      </c>
      <c r="D31" s="15" t="s">
        <v>66</v>
      </c>
    </row>
    <row r="32" customFormat="false" ht="30" hidden="false" customHeight="true" outlineLevel="0" collapsed="false">
      <c r="A32" s="13" t="s">
        <v>67</v>
      </c>
      <c r="B32" s="14" t="s">
        <v>68</v>
      </c>
      <c r="C32" s="14" t="s">
        <v>69</v>
      </c>
      <c r="D32" s="15" t="s">
        <v>70</v>
      </c>
    </row>
  </sheetData>
  <mergeCells count="7">
    <mergeCell ref="A1:E1"/>
    <mergeCell ref="A2:E2"/>
    <mergeCell ref="A5:E5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9" min="6" style="0" width="14"/>
    <col collapsed="false" customWidth="true" hidden="false" outlineLevel="0" max="10" min="10" style="0" width="15"/>
    <col collapsed="false" customWidth="true" hidden="false" outlineLevel="0" max="11" min="11" style="0" width="14"/>
    <col collapsed="false" customWidth="true" hidden="false" outlineLevel="0" max="12" min="12" style="0" width="15"/>
    <col collapsed="false" customWidth="true" hidden="false" outlineLevel="0" max="13" min="13" style="0" width="3"/>
    <col collapsed="false" customWidth="true" hidden="false" outlineLevel="0" max="14" min="14" style="0" width="30"/>
    <col collapsed="false" customWidth="true" hidden="false" outlineLevel="0" max="15" min="15" style="0" width="16"/>
    <col collapsed="false" customWidth="true" hidden="false" outlineLevel="0" max="16" min="16" style="0" width="42"/>
  </cols>
  <sheetData>
    <row r="1" customFormat="false" ht="33.75" hidden="false" customHeight="true" outlineLevel="0" collapsed="false">
      <c r="A1" s="12" t="s">
        <v>19</v>
      </c>
      <c r="B1" s="12" t="s">
        <v>71</v>
      </c>
      <c r="C1" s="12" t="s">
        <v>72</v>
      </c>
      <c r="D1" s="12" t="s">
        <v>73</v>
      </c>
      <c r="E1" s="12" t="s">
        <v>74</v>
      </c>
      <c r="F1" s="16" t="s">
        <v>75</v>
      </c>
      <c r="G1" s="16" t="s">
        <v>76</v>
      </c>
      <c r="H1" s="16" t="s">
        <v>77</v>
      </c>
      <c r="I1" s="16" t="s">
        <v>78</v>
      </c>
      <c r="J1" s="16" t="s">
        <v>79</v>
      </c>
      <c r="K1" s="16" t="s">
        <v>80</v>
      </c>
      <c r="L1" s="16" t="s">
        <v>81</v>
      </c>
      <c r="N1" s="17" t="s">
        <v>82</v>
      </c>
      <c r="O1" s="17" t="s">
        <v>83</v>
      </c>
      <c r="P1" s="17" t="s">
        <v>84</v>
      </c>
    </row>
    <row r="2" customFormat="false" ht="15" hidden="false" customHeight="false" outlineLevel="0" collapsed="false">
      <c r="A2" s="18" t="n">
        <v>1</v>
      </c>
      <c r="B2" s="19" t="s">
        <v>85</v>
      </c>
      <c r="C2" s="19" t="s">
        <v>86</v>
      </c>
      <c r="D2" s="19" t="s">
        <v>87</v>
      </c>
      <c r="E2" s="18" t="n">
        <v>0</v>
      </c>
      <c r="F2" s="20" t="n">
        <f aca="false">VLOOKUP(C2,Acuan!$A$2:$D$5,2,FALSE())</f>
        <v>4500000</v>
      </c>
      <c r="G2" s="20" t="n">
        <f aca="false">VLOOKUP(C2,Acuan!$A$2:$D$5,3,FALSE())</f>
        <v>500000</v>
      </c>
      <c r="H2" s="20" t="n">
        <f aca="false">IF(D2="K",ROUND(F2*$O$2,0),0)</f>
        <v>0</v>
      </c>
      <c r="I2" s="20" t="n">
        <f aca="false">E2*VLOOKUP(C2,Acuan!$A$2:$D$5,4,FALSE())</f>
        <v>0</v>
      </c>
      <c r="J2" s="20" t="n">
        <f aca="false">SUM(F2:I2)</f>
        <v>5000000</v>
      </c>
      <c r="K2" s="20" t="n">
        <f aca="false">ROUND(F2*($O$3+$O$4),0)</f>
        <v>135000</v>
      </c>
      <c r="L2" s="20" t="n">
        <f aca="false">J2-K2</f>
        <v>4865000</v>
      </c>
      <c r="N2" s="21" t="s">
        <v>88</v>
      </c>
      <c r="O2" s="22" t="n">
        <v>0.1</v>
      </c>
      <c r="P2" s="23" t="s">
        <v>89</v>
      </c>
    </row>
    <row r="3" customFormat="false" ht="15" hidden="false" customHeight="false" outlineLevel="0" collapsed="false">
      <c r="A3" s="18" t="n">
        <v>2</v>
      </c>
      <c r="B3" s="19" t="s">
        <v>90</v>
      </c>
      <c r="C3" s="19" t="s">
        <v>91</v>
      </c>
      <c r="D3" s="19" t="s">
        <v>92</v>
      </c>
      <c r="E3" s="18" t="n">
        <v>4</v>
      </c>
      <c r="F3" s="20" t="n">
        <f aca="false">VLOOKUP(C3,Acuan!$A$2:$D$5,2,FALSE())</f>
        <v>6000000</v>
      </c>
      <c r="G3" s="20" t="n">
        <f aca="false">VLOOKUP(C3,Acuan!$A$2:$D$5,3,FALSE())</f>
        <v>900000</v>
      </c>
      <c r="H3" s="20" t="n">
        <f aca="false">IF(D3="K",ROUND(F3*$O$2,0),0)</f>
        <v>600000</v>
      </c>
      <c r="I3" s="20" t="n">
        <f aca="false">E3*VLOOKUP(C3,Acuan!$A$2:$D$5,4,FALSE())</f>
        <v>140000</v>
      </c>
      <c r="J3" s="20" t="n">
        <f aca="false">SUM(F3:I3)</f>
        <v>7640000</v>
      </c>
      <c r="K3" s="20" t="n">
        <f aca="false">ROUND(F3*($O$3+$O$4),0)</f>
        <v>180000</v>
      </c>
      <c r="L3" s="20" t="n">
        <f aca="false">J3-K3</f>
        <v>7460000</v>
      </c>
      <c r="N3" s="21" t="s">
        <v>93</v>
      </c>
      <c r="O3" s="22" t="n">
        <v>0.01</v>
      </c>
      <c r="P3" s="23" t="s">
        <v>89</v>
      </c>
    </row>
    <row r="4" customFormat="false" ht="15" hidden="false" customHeight="false" outlineLevel="0" collapsed="false">
      <c r="A4" s="18" t="n">
        <v>3</v>
      </c>
      <c r="B4" s="19" t="s">
        <v>94</v>
      </c>
      <c r="C4" s="19" t="s">
        <v>86</v>
      </c>
      <c r="D4" s="19" t="s">
        <v>87</v>
      </c>
      <c r="E4" s="18" t="n">
        <v>8</v>
      </c>
      <c r="F4" s="20" t="n">
        <f aca="false">VLOOKUP(C4,Acuan!$A$2:$D$5,2,FALSE())</f>
        <v>4500000</v>
      </c>
      <c r="G4" s="20" t="n">
        <f aca="false">VLOOKUP(C4,Acuan!$A$2:$D$5,3,FALSE())</f>
        <v>500000</v>
      </c>
      <c r="H4" s="20" t="n">
        <f aca="false">IF(D4="K",ROUND(F4*$O$2,0),0)</f>
        <v>0</v>
      </c>
      <c r="I4" s="20" t="n">
        <f aca="false">E4*VLOOKUP(C4,Acuan!$A$2:$D$5,4,FALSE())</f>
        <v>200000</v>
      </c>
      <c r="J4" s="20" t="n">
        <f aca="false">SUM(F4:I4)</f>
        <v>5200000</v>
      </c>
      <c r="K4" s="20" t="n">
        <f aca="false">ROUND(F4*($O$3+$O$4),0)</f>
        <v>135000</v>
      </c>
      <c r="L4" s="20" t="n">
        <f aca="false">J4-K4</f>
        <v>5065000</v>
      </c>
      <c r="N4" s="21" t="s">
        <v>95</v>
      </c>
      <c r="O4" s="22" t="n">
        <v>0.02</v>
      </c>
      <c r="P4" s="23" t="s">
        <v>89</v>
      </c>
    </row>
    <row r="5" customFormat="false" ht="15" hidden="false" customHeight="false" outlineLevel="0" collapsed="false">
      <c r="A5" s="18" t="n">
        <v>4</v>
      </c>
      <c r="B5" s="19" t="s">
        <v>96</v>
      </c>
      <c r="C5" s="19" t="s">
        <v>97</v>
      </c>
      <c r="D5" s="19" t="s">
        <v>92</v>
      </c>
      <c r="E5" s="18" t="n">
        <v>32</v>
      </c>
      <c r="F5" s="20" t="n">
        <f aca="false">VLOOKUP(C5,Acuan!$A$2:$D$5,2,FALSE())</f>
        <v>3500000</v>
      </c>
      <c r="G5" s="20" t="n">
        <f aca="false">VLOOKUP(C5,Acuan!$A$2:$D$5,3,FALSE())</f>
        <v>300000</v>
      </c>
      <c r="H5" s="20" t="n">
        <f aca="false">IF(D5="K",ROUND(F5*$O$2,0),0)</f>
        <v>350000</v>
      </c>
      <c r="I5" s="20" t="n">
        <f aca="false">E5*VLOOKUP(C5,Acuan!$A$2:$D$5,4,FALSE())</f>
        <v>640000</v>
      </c>
      <c r="J5" s="20" t="n">
        <f aca="false">SUM(F5:I5)</f>
        <v>4790000</v>
      </c>
      <c r="K5" s="20" t="n">
        <f aca="false">ROUND(F5*($O$3+$O$4),0)</f>
        <v>105000</v>
      </c>
      <c r="L5" s="20" t="n">
        <f aca="false">J5-K5</f>
        <v>4685000</v>
      </c>
    </row>
    <row r="6" customFormat="false" ht="15" hidden="false" customHeight="false" outlineLevel="0" collapsed="false">
      <c r="A6" s="18" t="n">
        <v>5</v>
      </c>
      <c r="B6" s="19" t="s">
        <v>98</v>
      </c>
      <c r="C6" s="19" t="s">
        <v>99</v>
      </c>
      <c r="D6" s="19" t="s">
        <v>87</v>
      </c>
      <c r="E6" s="18" t="n">
        <v>8</v>
      </c>
      <c r="F6" s="20" t="n">
        <f aca="false">VLOOKUP(C6,Acuan!$A$2:$D$5,2,FALSE())</f>
        <v>8000000</v>
      </c>
      <c r="G6" s="20" t="n">
        <f aca="false">VLOOKUP(C6,Acuan!$A$2:$D$5,3,FALSE())</f>
        <v>1500000</v>
      </c>
      <c r="H6" s="20" t="n">
        <f aca="false">IF(D6="K",ROUND(F6*$O$2,0),0)</f>
        <v>0</v>
      </c>
      <c r="I6" s="20" t="n">
        <f aca="false">E6*VLOOKUP(C6,Acuan!$A$2:$D$5,4,FALSE())</f>
        <v>400000</v>
      </c>
      <c r="J6" s="20" t="n">
        <f aca="false">SUM(F6:I6)</f>
        <v>9900000</v>
      </c>
      <c r="K6" s="20" t="n">
        <f aca="false">ROUND(F6*($O$3+$O$4),0)</f>
        <v>240000</v>
      </c>
      <c r="L6" s="20" t="n">
        <f aca="false">J6-K6</f>
        <v>9660000</v>
      </c>
    </row>
    <row r="7" customFormat="false" ht="15" hidden="false" customHeight="false" outlineLevel="0" collapsed="false">
      <c r="A7" s="18" t="n">
        <v>6</v>
      </c>
      <c r="B7" s="19" t="s">
        <v>100</v>
      </c>
      <c r="C7" s="19" t="s">
        <v>91</v>
      </c>
      <c r="D7" s="19" t="s">
        <v>92</v>
      </c>
      <c r="E7" s="18" t="n">
        <v>32</v>
      </c>
      <c r="F7" s="20" t="n">
        <f aca="false">VLOOKUP(C7,Acuan!$A$2:$D$5,2,FALSE())</f>
        <v>6000000</v>
      </c>
      <c r="G7" s="20" t="n">
        <f aca="false">VLOOKUP(C7,Acuan!$A$2:$D$5,3,FALSE())</f>
        <v>900000</v>
      </c>
      <c r="H7" s="20" t="n">
        <f aca="false">IF(D7="K",ROUND(F7*$O$2,0),0)</f>
        <v>600000</v>
      </c>
      <c r="I7" s="20" t="n">
        <f aca="false">E7*VLOOKUP(C7,Acuan!$A$2:$D$5,4,FALSE())</f>
        <v>1120000</v>
      </c>
      <c r="J7" s="20" t="n">
        <f aca="false">SUM(F7:I7)</f>
        <v>8620000</v>
      </c>
      <c r="K7" s="20" t="n">
        <f aca="false">ROUND(F7*($O$3+$O$4),0)</f>
        <v>180000</v>
      </c>
      <c r="L7" s="20" t="n">
        <f aca="false">J7-K7</f>
        <v>8440000</v>
      </c>
    </row>
    <row r="8" customFormat="false" ht="15" hidden="false" customHeight="false" outlineLevel="0" collapsed="false">
      <c r="A8" s="18" t="n">
        <v>7</v>
      </c>
      <c r="B8" s="19" t="s">
        <v>101</v>
      </c>
      <c r="C8" s="19" t="s">
        <v>99</v>
      </c>
      <c r="D8" s="19" t="s">
        <v>92</v>
      </c>
      <c r="E8" s="18" t="n">
        <v>12</v>
      </c>
      <c r="F8" s="20" t="n">
        <f aca="false">VLOOKUP(C8,Acuan!$A$2:$D$5,2,FALSE())</f>
        <v>8000000</v>
      </c>
      <c r="G8" s="20" t="n">
        <f aca="false">VLOOKUP(C8,Acuan!$A$2:$D$5,3,FALSE())</f>
        <v>1500000</v>
      </c>
      <c r="H8" s="20" t="n">
        <f aca="false">IF(D8="K",ROUND(F8*$O$2,0),0)</f>
        <v>800000</v>
      </c>
      <c r="I8" s="20" t="n">
        <f aca="false">E8*VLOOKUP(C8,Acuan!$A$2:$D$5,4,FALSE())</f>
        <v>600000</v>
      </c>
      <c r="J8" s="20" t="n">
        <f aca="false">SUM(F8:I8)</f>
        <v>10900000</v>
      </c>
      <c r="K8" s="20" t="n">
        <f aca="false">ROUND(F8*($O$3+$O$4),0)</f>
        <v>240000</v>
      </c>
      <c r="L8" s="20" t="n">
        <f aca="false">J8-K8</f>
        <v>10660000</v>
      </c>
    </row>
    <row r="9" customFormat="false" ht="15" hidden="false" customHeight="false" outlineLevel="0" collapsed="false">
      <c r="A9" s="18" t="n">
        <v>8</v>
      </c>
      <c r="B9" s="19" t="s">
        <v>102</v>
      </c>
      <c r="C9" s="19" t="s">
        <v>86</v>
      </c>
      <c r="D9" s="19" t="s">
        <v>87</v>
      </c>
      <c r="E9" s="18" t="n">
        <v>0</v>
      </c>
      <c r="F9" s="20" t="n">
        <f aca="false">VLOOKUP(C9,Acuan!$A$2:$D$5,2,FALSE())</f>
        <v>4500000</v>
      </c>
      <c r="G9" s="20" t="n">
        <f aca="false">VLOOKUP(C9,Acuan!$A$2:$D$5,3,FALSE())</f>
        <v>500000</v>
      </c>
      <c r="H9" s="20" t="n">
        <f aca="false">IF(D9="K",ROUND(F9*$O$2,0),0)</f>
        <v>0</v>
      </c>
      <c r="I9" s="20" t="n">
        <f aca="false">E9*VLOOKUP(C9,Acuan!$A$2:$D$5,4,FALSE())</f>
        <v>0</v>
      </c>
      <c r="J9" s="20" t="n">
        <f aca="false">SUM(F9:I9)</f>
        <v>5000000</v>
      </c>
      <c r="K9" s="20" t="n">
        <f aca="false">ROUND(F9*($O$3+$O$4),0)</f>
        <v>135000</v>
      </c>
      <c r="L9" s="20" t="n">
        <f aca="false">J9-K9</f>
        <v>4865000</v>
      </c>
    </row>
    <row r="10" customFormat="false" ht="15" hidden="false" customHeight="false" outlineLevel="0" collapsed="false">
      <c r="A10" s="18" t="n">
        <v>9</v>
      </c>
      <c r="B10" s="19" t="s">
        <v>103</v>
      </c>
      <c r="C10" s="19" t="s">
        <v>86</v>
      </c>
      <c r="D10" s="19" t="s">
        <v>87</v>
      </c>
      <c r="E10" s="18" t="n">
        <v>10</v>
      </c>
      <c r="F10" s="20" t="n">
        <f aca="false">VLOOKUP(C10,Acuan!$A$2:$D$5,2,FALSE())</f>
        <v>4500000</v>
      </c>
      <c r="G10" s="20" t="n">
        <f aca="false">VLOOKUP(C10,Acuan!$A$2:$D$5,3,FALSE())</f>
        <v>500000</v>
      </c>
      <c r="H10" s="20" t="n">
        <f aca="false">IF(D10="K",ROUND(F10*$O$2,0),0)</f>
        <v>0</v>
      </c>
      <c r="I10" s="20" t="n">
        <f aca="false">E10*VLOOKUP(C10,Acuan!$A$2:$D$5,4,FALSE())</f>
        <v>250000</v>
      </c>
      <c r="J10" s="20" t="n">
        <f aca="false">SUM(F10:I10)</f>
        <v>5250000</v>
      </c>
      <c r="K10" s="20" t="n">
        <f aca="false">ROUND(F10*($O$3+$O$4),0)</f>
        <v>135000</v>
      </c>
      <c r="L10" s="20" t="n">
        <f aca="false">J10-K10</f>
        <v>5115000</v>
      </c>
    </row>
    <row r="11" customFormat="false" ht="15" hidden="false" customHeight="false" outlineLevel="0" collapsed="false">
      <c r="A11" s="18" t="n">
        <v>10</v>
      </c>
      <c r="B11" s="19" t="s">
        <v>104</v>
      </c>
      <c r="C11" s="19" t="s">
        <v>86</v>
      </c>
      <c r="D11" s="19" t="s">
        <v>87</v>
      </c>
      <c r="E11" s="18" t="n">
        <v>0</v>
      </c>
      <c r="F11" s="20" t="n">
        <f aca="false">VLOOKUP(C11,Acuan!$A$2:$D$5,2,FALSE())</f>
        <v>4500000</v>
      </c>
      <c r="G11" s="20" t="n">
        <f aca="false">VLOOKUP(C11,Acuan!$A$2:$D$5,3,FALSE())</f>
        <v>500000</v>
      </c>
      <c r="H11" s="20" t="n">
        <f aca="false">IF(D11="K",ROUND(F11*$O$2,0),0)</f>
        <v>0</v>
      </c>
      <c r="I11" s="20" t="n">
        <f aca="false">E11*VLOOKUP(C11,Acuan!$A$2:$D$5,4,FALSE())</f>
        <v>0</v>
      </c>
      <c r="J11" s="20" t="n">
        <f aca="false">SUM(F11:I11)</f>
        <v>5000000</v>
      </c>
      <c r="K11" s="20" t="n">
        <f aca="false">ROUND(F11*($O$3+$O$4),0)</f>
        <v>135000</v>
      </c>
      <c r="L11" s="20" t="n">
        <f aca="false">J11-K11</f>
        <v>4865000</v>
      </c>
    </row>
    <row r="12" customFormat="false" ht="15" hidden="false" customHeight="false" outlineLevel="0" collapsed="false">
      <c r="A12" s="18" t="n">
        <v>11</v>
      </c>
      <c r="B12" s="19" t="s">
        <v>105</v>
      </c>
      <c r="C12" s="19" t="s">
        <v>97</v>
      </c>
      <c r="D12" s="19" t="s">
        <v>87</v>
      </c>
      <c r="E12" s="18" t="n">
        <v>8</v>
      </c>
      <c r="F12" s="20" t="n">
        <f aca="false">VLOOKUP(C12,Acuan!$A$2:$D$5,2,FALSE())</f>
        <v>3500000</v>
      </c>
      <c r="G12" s="20" t="n">
        <f aca="false">VLOOKUP(C12,Acuan!$A$2:$D$5,3,FALSE())</f>
        <v>300000</v>
      </c>
      <c r="H12" s="20" t="n">
        <f aca="false">IF(D12="K",ROUND(F12*$O$2,0),0)</f>
        <v>0</v>
      </c>
      <c r="I12" s="20" t="n">
        <f aca="false">E12*VLOOKUP(C12,Acuan!$A$2:$D$5,4,FALSE())</f>
        <v>160000</v>
      </c>
      <c r="J12" s="20" t="n">
        <f aca="false">SUM(F12:I12)</f>
        <v>3960000</v>
      </c>
      <c r="K12" s="20" t="n">
        <f aca="false">ROUND(F12*($O$3+$O$4),0)</f>
        <v>105000</v>
      </c>
      <c r="L12" s="20" t="n">
        <f aca="false">J12-K12</f>
        <v>3855000</v>
      </c>
    </row>
    <row r="13" customFormat="false" ht="15" hidden="false" customHeight="false" outlineLevel="0" collapsed="false">
      <c r="A13" s="18" t="n">
        <v>12</v>
      </c>
      <c r="B13" s="19" t="s">
        <v>106</v>
      </c>
      <c r="C13" s="19" t="s">
        <v>91</v>
      </c>
      <c r="D13" s="19" t="s">
        <v>92</v>
      </c>
      <c r="E13" s="18" t="n">
        <v>20</v>
      </c>
      <c r="F13" s="20" t="n">
        <f aca="false">VLOOKUP(C13,Acuan!$A$2:$D$5,2,FALSE())</f>
        <v>6000000</v>
      </c>
      <c r="G13" s="20" t="n">
        <f aca="false">VLOOKUP(C13,Acuan!$A$2:$D$5,3,FALSE())</f>
        <v>900000</v>
      </c>
      <c r="H13" s="20" t="n">
        <f aca="false">IF(D13="K",ROUND(F13*$O$2,0),0)</f>
        <v>600000</v>
      </c>
      <c r="I13" s="20" t="n">
        <f aca="false">E13*VLOOKUP(C13,Acuan!$A$2:$D$5,4,FALSE())</f>
        <v>700000</v>
      </c>
      <c r="J13" s="20" t="n">
        <f aca="false">SUM(F13:I13)</f>
        <v>8200000</v>
      </c>
      <c r="K13" s="20" t="n">
        <f aca="false">ROUND(F13*($O$3+$O$4),0)</f>
        <v>180000</v>
      </c>
      <c r="L13" s="20" t="n">
        <f aca="false">J13-K13</f>
        <v>8020000</v>
      </c>
    </row>
    <row r="14" customFormat="false" ht="15" hidden="false" customHeight="false" outlineLevel="0" collapsed="false">
      <c r="A14" s="18" t="n">
        <v>13</v>
      </c>
      <c r="B14" s="19" t="s">
        <v>107</v>
      </c>
      <c r="C14" s="19" t="s">
        <v>99</v>
      </c>
      <c r="D14" s="19" t="s">
        <v>92</v>
      </c>
      <c r="E14" s="18" t="n">
        <v>4</v>
      </c>
      <c r="F14" s="20" t="n">
        <f aca="false">VLOOKUP(C14,Acuan!$A$2:$D$5,2,FALSE())</f>
        <v>8000000</v>
      </c>
      <c r="G14" s="20" t="n">
        <f aca="false">VLOOKUP(C14,Acuan!$A$2:$D$5,3,FALSE())</f>
        <v>1500000</v>
      </c>
      <c r="H14" s="20" t="n">
        <f aca="false">IF(D14="K",ROUND(F14*$O$2,0),0)</f>
        <v>800000</v>
      </c>
      <c r="I14" s="20" t="n">
        <f aca="false">E14*VLOOKUP(C14,Acuan!$A$2:$D$5,4,FALSE())</f>
        <v>200000</v>
      </c>
      <c r="J14" s="20" t="n">
        <f aca="false">SUM(F14:I14)</f>
        <v>10500000</v>
      </c>
      <c r="K14" s="20" t="n">
        <f aca="false">ROUND(F14*($O$3+$O$4),0)</f>
        <v>240000</v>
      </c>
      <c r="L14" s="20" t="n">
        <f aca="false">J14-K14</f>
        <v>10260000</v>
      </c>
    </row>
    <row r="15" customFormat="false" ht="15" hidden="false" customHeight="false" outlineLevel="0" collapsed="false">
      <c r="A15" s="18" t="n">
        <v>14</v>
      </c>
      <c r="B15" s="19" t="s">
        <v>108</v>
      </c>
      <c r="C15" s="19" t="s">
        <v>91</v>
      </c>
      <c r="D15" s="19" t="s">
        <v>92</v>
      </c>
      <c r="E15" s="18" t="n">
        <v>24</v>
      </c>
      <c r="F15" s="20" t="n">
        <f aca="false">VLOOKUP(C15,Acuan!$A$2:$D$5,2,FALSE())</f>
        <v>6000000</v>
      </c>
      <c r="G15" s="20" t="n">
        <f aca="false">VLOOKUP(C15,Acuan!$A$2:$D$5,3,FALSE())</f>
        <v>900000</v>
      </c>
      <c r="H15" s="20" t="n">
        <f aca="false">IF(D15="K",ROUND(F15*$O$2,0),0)</f>
        <v>600000</v>
      </c>
      <c r="I15" s="20" t="n">
        <f aca="false">E15*VLOOKUP(C15,Acuan!$A$2:$D$5,4,FALSE())</f>
        <v>840000</v>
      </c>
      <c r="J15" s="20" t="n">
        <f aca="false">SUM(F15:I15)</f>
        <v>8340000</v>
      </c>
      <c r="K15" s="20" t="n">
        <f aca="false">ROUND(F15*($O$3+$O$4),0)</f>
        <v>180000</v>
      </c>
      <c r="L15" s="20" t="n">
        <f aca="false">J15-K15</f>
        <v>8160000</v>
      </c>
    </row>
    <row r="16" customFormat="false" ht="15" hidden="false" customHeight="false" outlineLevel="0" collapsed="false">
      <c r="A16" s="18" t="n">
        <v>15</v>
      </c>
      <c r="B16" s="19" t="s">
        <v>109</v>
      </c>
      <c r="C16" s="19" t="s">
        <v>97</v>
      </c>
      <c r="D16" s="19" t="s">
        <v>87</v>
      </c>
      <c r="E16" s="18" t="n">
        <v>4</v>
      </c>
      <c r="F16" s="20" t="n">
        <f aca="false">VLOOKUP(C16,Acuan!$A$2:$D$5,2,FALSE())</f>
        <v>3500000</v>
      </c>
      <c r="G16" s="20" t="n">
        <f aca="false">VLOOKUP(C16,Acuan!$A$2:$D$5,3,FALSE())</f>
        <v>300000</v>
      </c>
      <c r="H16" s="20" t="n">
        <f aca="false">IF(D16="K",ROUND(F16*$O$2,0),0)</f>
        <v>0</v>
      </c>
      <c r="I16" s="20" t="n">
        <f aca="false">E16*VLOOKUP(C16,Acuan!$A$2:$D$5,4,FALSE())</f>
        <v>80000</v>
      </c>
      <c r="J16" s="20" t="n">
        <f aca="false">SUM(F16:I16)</f>
        <v>3880000</v>
      </c>
      <c r="K16" s="20" t="n">
        <f aca="false">ROUND(F16*($O$3+$O$4),0)</f>
        <v>105000</v>
      </c>
      <c r="L16" s="20" t="n">
        <f aca="false">J16-K16</f>
        <v>3775000</v>
      </c>
    </row>
    <row r="17" customFormat="false" ht="15" hidden="false" customHeight="false" outlineLevel="0" collapsed="false">
      <c r="A17" s="18" t="n">
        <v>16</v>
      </c>
      <c r="B17" s="19" t="s">
        <v>110</v>
      </c>
      <c r="C17" s="19" t="s">
        <v>97</v>
      </c>
      <c r="D17" s="19" t="s">
        <v>87</v>
      </c>
      <c r="E17" s="18" t="n">
        <v>0</v>
      </c>
      <c r="F17" s="20" t="n">
        <f aca="false">VLOOKUP(C17,Acuan!$A$2:$D$5,2,FALSE())</f>
        <v>3500000</v>
      </c>
      <c r="G17" s="20" t="n">
        <f aca="false">VLOOKUP(C17,Acuan!$A$2:$D$5,3,FALSE())</f>
        <v>300000</v>
      </c>
      <c r="H17" s="20" t="n">
        <f aca="false">IF(D17="K",ROUND(F17*$O$2,0),0)</f>
        <v>0</v>
      </c>
      <c r="I17" s="20" t="n">
        <f aca="false">E17*VLOOKUP(C17,Acuan!$A$2:$D$5,4,FALSE())</f>
        <v>0</v>
      </c>
      <c r="J17" s="20" t="n">
        <f aca="false">SUM(F17:I17)</f>
        <v>3800000</v>
      </c>
      <c r="K17" s="20" t="n">
        <f aca="false">ROUND(F17*($O$3+$O$4),0)</f>
        <v>105000</v>
      </c>
      <c r="L17" s="20" t="n">
        <f aca="false">J17-K17</f>
        <v>3695000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4" min="3" style="0" width="17"/>
  </cols>
  <sheetData>
    <row r="1" customFormat="false" ht="33.75" hidden="false" customHeight="true" outlineLevel="0" collapsed="false">
      <c r="A1" s="12" t="s">
        <v>72</v>
      </c>
      <c r="B1" s="12" t="s">
        <v>75</v>
      </c>
      <c r="C1" s="12" t="s">
        <v>76</v>
      </c>
      <c r="D1" s="12" t="s">
        <v>111</v>
      </c>
    </row>
    <row r="2" customFormat="false" ht="15" hidden="false" customHeight="false" outlineLevel="0" collapsed="false">
      <c r="A2" s="19" t="s">
        <v>97</v>
      </c>
      <c r="B2" s="24" t="n">
        <v>3500000</v>
      </c>
      <c r="C2" s="24" t="n">
        <v>300000</v>
      </c>
      <c r="D2" s="24" t="n">
        <v>20000</v>
      </c>
    </row>
    <row r="3" customFormat="false" ht="15" hidden="false" customHeight="false" outlineLevel="0" collapsed="false">
      <c r="A3" s="19" t="s">
        <v>86</v>
      </c>
      <c r="B3" s="24" t="n">
        <v>4500000</v>
      </c>
      <c r="C3" s="24" t="n">
        <v>500000</v>
      </c>
      <c r="D3" s="24" t="n">
        <v>25000</v>
      </c>
    </row>
    <row r="4" customFormat="false" ht="15" hidden="false" customHeight="false" outlineLevel="0" collapsed="false">
      <c r="A4" s="19" t="s">
        <v>91</v>
      </c>
      <c r="B4" s="24" t="n">
        <v>6000000</v>
      </c>
      <c r="C4" s="24" t="n">
        <v>900000</v>
      </c>
      <c r="D4" s="24" t="n">
        <v>35000</v>
      </c>
    </row>
    <row r="5" customFormat="false" ht="15" hidden="false" customHeight="false" outlineLevel="0" collapsed="false">
      <c r="A5" s="19" t="s">
        <v>99</v>
      </c>
      <c r="B5" s="24" t="n">
        <v>8000000</v>
      </c>
      <c r="C5" s="24" t="n">
        <v>1500000</v>
      </c>
      <c r="D5" s="24" t="n">
        <v>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8"/>
    <col collapsed="false" customWidth="true" hidden="false" outlineLevel="0" max="3" min="3" style="0" width="26"/>
    <col collapsed="false" customWidth="true" hidden="false" outlineLevel="0" max="4" min="4" style="0" width="32"/>
  </cols>
  <sheetData>
    <row r="1" customFormat="false" ht="16.15" hidden="false" customHeight="false" outlineLevel="0" collapsed="false">
      <c r="A1" s="25" t="s">
        <v>112</v>
      </c>
      <c r="B1" s="25"/>
      <c r="C1" s="25"/>
      <c r="D1" s="25"/>
    </row>
    <row r="2" customFormat="false" ht="15" hidden="false" customHeight="false" outlineLevel="0" collapsed="false">
      <c r="A2" s="26" t="s">
        <v>113</v>
      </c>
      <c r="B2" s="26"/>
      <c r="C2" s="26"/>
      <c r="D2" s="26"/>
    </row>
    <row r="3" customFormat="false" ht="15" hidden="false" customHeight="false" outlineLevel="0" collapsed="false">
      <c r="A3" s="12" t="s">
        <v>19</v>
      </c>
      <c r="B3" s="12" t="s">
        <v>114</v>
      </c>
      <c r="C3" s="12" t="s">
        <v>115</v>
      </c>
      <c r="D3" s="12" t="s">
        <v>116</v>
      </c>
    </row>
    <row r="4" customFormat="false" ht="19.5" hidden="false" customHeight="true" outlineLevel="0" collapsed="false">
      <c r="A4" s="27" t="s">
        <v>51</v>
      </c>
      <c r="B4" s="28" t="s">
        <v>117</v>
      </c>
      <c r="C4" s="20" t="n">
        <f aca="false">SUM(Data!$L$2:$L$17)</f>
        <v>103445000</v>
      </c>
      <c r="D4" s="23" t="s">
        <v>118</v>
      </c>
    </row>
    <row r="5" customFormat="false" ht="19.5" hidden="false" customHeight="true" outlineLevel="0" collapsed="false">
      <c r="A5" s="27" t="s">
        <v>55</v>
      </c>
      <c r="B5" s="28" t="s">
        <v>119</v>
      </c>
      <c r="C5" s="29" t="str">
        <f aca="false">INDEX(Data!$B$2:$B$17,MATCH(MAX(Data!$L$2:$L$17),Data!$L$2:$L$17,0))</f>
        <v>Ayu Susanto</v>
      </c>
      <c r="D5" s="23" t="s">
        <v>120</v>
      </c>
    </row>
    <row r="6" customFormat="false" ht="19.5" hidden="false" customHeight="true" outlineLevel="0" collapsed="false">
      <c r="A6" s="27" t="s">
        <v>59</v>
      </c>
      <c r="B6" s="28" t="s">
        <v>121</v>
      </c>
      <c r="C6" s="20" t="n">
        <f aca="false">AVERAGEIF(Data!$C$2:$C$17,"III",Data!$L$2:$L$17)</f>
        <v>8020000</v>
      </c>
      <c r="D6" s="23" t="s">
        <v>122</v>
      </c>
    </row>
    <row r="7" customFormat="false" ht="19.5" hidden="false" customHeight="true" outlineLevel="0" collapsed="false">
      <c r="A7" s="27" t="s">
        <v>63</v>
      </c>
      <c r="B7" s="28" t="s">
        <v>123</v>
      </c>
      <c r="C7" s="30" t="n">
        <f aca="false">COUNTIF(Data!$E$2:$E$17,"&gt;20")</f>
        <v>3</v>
      </c>
      <c r="D7" s="23" t="s">
        <v>124</v>
      </c>
    </row>
    <row r="8" customFormat="false" ht="19.5" hidden="false" customHeight="true" outlineLevel="0" collapsed="false">
      <c r="A8" s="27" t="s">
        <v>67</v>
      </c>
      <c r="B8" s="28" t="s">
        <v>125</v>
      </c>
      <c r="C8" s="20" t="n">
        <f aca="false">SUM(Data!$I$2:$I$17)</f>
        <v>5330000</v>
      </c>
      <c r="D8" s="23" t="s">
        <v>126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2026-10-10T06:49:16Z</dcterms:created>
  <dc:creator>PushExcel</dc:creator>
  <dc:description/>
  <dc:language>en-US</dc:language>
  <cp:lastModifiedBy/>
  <dcterms:modified xsi:type="dcterms:W3CDTF">2026-10-10T06:49:16Z</dcterms:modified>
  <cp:revision>0</cp:revision>
  <dc:subject/>
  <dc:title>Penggajian Karyawan Bulanan - Kunci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